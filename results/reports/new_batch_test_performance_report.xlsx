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piano-mir-melody-separation\"/>
    </mc:Choice>
  </mc:AlternateContent>
  <xr:revisionPtr revIDLastSave="0" documentId="13_ncr:40009_{C166B2B9-94CB-4C61-859B-86CD8C7AA819}" xr6:coauthVersionLast="36" xr6:coauthVersionMax="36" xr10:uidLastSave="{00000000-0000-0000-0000-000000000000}"/>
  <bookViews>
    <workbookView xWindow="0" yWindow="0" windowWidth="28800" windowHeight="12060"/>
  </bookViews>
  <sheets>
    <sheet name="new_batch_test_performance_repo" sheetId="1" r:id="rId1"/>
    <sheet name="工作表1" sheetId="2" r:id="rId2"/>
  </sheets>
  <definedNames>
    <definedName name="_xlchart.v1.0" hidden="1">new_batch_test_performance_repo!$C$1</definedName>
    <definedName name="_xlchart.v1.1" hidden="1">new_batch_test_performance_repo!$C$2:$C$81</definedName>
    <definedName name="_xlchart.v1.10" hidden="1">new_batch_test_performance_repo!$C$1</definedName>
    <definedName name="_xlchart.v1.11" hidden="1">new_batch_test_performance_repo!$C$2:$C$81</definedName>
    <definedName name="_xlchart.v1.12" hidden="1">new_batch_test_performance_repo!$E$1</definedName>
    <definedName name="_xlchart.v1.13" hidden="1">new_batch_test_performance_repo!$E$2:$E$81</definedName>
    <definedName name="_xlchart.v1.14" hidden="1">new_batch_test_performance_repo!$E$3:$E$82</definedName>
    <definedName name="_xlchart.v1.15" hidden="1">工作表1!$C$1</definedName>
    <definedName name="_xlchart.v1.16" hidden="1">工作表1!$C$2:$C$81</definedName>
    <definedName name="_xlchart.v1.17" hidden="1">工作表1!$F$1</definedName>
    <definedName name="_xlchart.v1.18" hidden="1">工作表1!$F$2:$F$81</definedName>
    <definedName name="_xlchart.v1.19" hidden="1">工作表1!$C$1</definedName>
    <definedName name="_xlchart.v1.2" hidden="1">new_batch_test_performance_repo!$F$1</definedName>
    <definedName name="_xlchart.v1.20" hidden="1">工作表1!$C$2:$C$81</definedName>
    <definedName name="_xlchart.v1.21" hidden="1">工作表1!$E$1</definedName>
    <definedName name="_xlchart.v1.22" hidden="1">工作表1!$E$2:$E$81</definedName>
    <definedName name="_xlchart.v1.23" hidden="1">工作表1!$C$85:$F$85</definedName>
    <definedName name="_xlchart.v1.24" hidden="1">工作表1!$C$1</definedName>
    <definedName name="_xlchart.v1.25" hidden="1">工作表1!$C$2:$C$81</definedName>
    <definedName name="_xlchart.v1.26" hidden="1">工作表1!$D$1</definedName>
    <definedName name="_xlchart.v1.27" hidden="1">工作表1!$D$2:$D$81</definedName>
    <definedName name="_xlchart.v1.28" hidden="1">工作表1!$C$1</definedName>
    <definedName name="_xlchart.v1.29" hidden="1">工作表1!$C$2:$C$81</definedName>
    <definedName name="_xlchart.v1.3" hidden="1">new_batch_test_performance_repo!$F$2:$F$81</definedName>
    <definedName name="_xlchart.v1.30" hidden="1">工作表1!$F$1</definedName>
    <definedName name="_xlchart.v1.31" hidden="1">工作表1!$F$2:$F$81</definedName>
    <definedName name="_xlchart.v1.32" hidden="1">工作表1!$C$1</definedName>
    <definedName name="_xlchart.v1.33" hidden="1">工作表1!$C$2:$C$81</definedName>
    <definedName name="_xlchart.v1.4" hidden="1">new_batch_test_performance_repo!$C$1</definedName>
    <definedName name="_xlchart.v1.5" hidden="1">new_batch_test_performance_repo!$C$2:$C$81</definedName>
    <definedName name="_xlchart.v1.6" hidden="1">new_batch_test_performance_repo!$D$1</definedName>
    <definedName name="_xlchart.v1.7" hidden="1">new_batch_test_performance_repo!$D$2:$D$81</definedName>
    <definedName name="_xlchart.v1.8" hidden="1">new_batch_test_performance_repo!$C$1</definedName>
    <definedName name="_xlchart.v1.9" hidden="1">new_batch_test_performance_repo!$C$2:$C$81</definedName>
  </definedNames>
  <calcPr calcId="0"/>
</workbook>
</file>

<file path=xl/calcChain.xml><?xml version="1.0" encoding="utf-8"?>
<calcChain xmlns="http://schemas.openxmlformats.org/spreadsheetml/2006/main">
  <c r="F85" i="2" l="1"/>
  <c r="E85" i="2"/>
  <c r="D85" i="2"/>
  <c r="C85" i="2"/>
  <c r="D85" i="1"/>
  <c r="E85" i="1"/>
  <c r="F85" i="1"/>
  <c r="C85" i="1"/>
  <c r="F84" i="2"/>
  <c r="E84" i="2"/>
  <c r="D84" i="2"/>
  <c r="C84" i="2"/>
  <c r="F83" i="2"/>
  <c r="E83" i="2"/>
  <c r="D83" i="2"/>
  <c r="C83" i="2"/>
  <c r="F82" i="2"/>
  <c r="E82" i="2"/>
  <c r="D82" i="2"/>
  <c r="C82" i="2"/>
  <c r="D82" i="1"/>
  <c r="E82" i="1"/>
  <c r="F82" i="1"/>
  <c r="D83" i="1"/>
  <c r="E83" i="1"/>
  <c r="F83" i="1"/>
  <c r="D84" i="1"/>
  <c r="E84" i="1"/>
  <c r="F84" i="1"/>
  <c r="C84" i="1"/>
  <c r="C83" i="1"/>
  <c r="C82" i="1"/>
</calcChain>
</file>

<file path=xl/sharedStrings.xml><?xml version="1.0" encoding="utf-8"?>
<sst xmlns="http://schemas.openxmlformats.org/spreadsheetml/2006/main" count="340" uniqueCount="93">
  <si>
    <t>Song</t>
  </si>
  <si>
    <t>Part</t>
  </si>
  <si>
    <t>SDR</t>
  </si>
  <si>
    <t>SI-SDR</t>
  </si>
  <si>
    <t>SIR</t>
  </si>
  <si>
    <t>SAR</t>
  </si>
  <si>
    <t>Classical_Classical_Bartok_Bela_Hol_Jartal_Baranykam</t>
  </si>
  <si>
    <t>Melody</t>
  </si>
  <si>
    <t>Accomp</t>
  </si>
  <si>
    <t>Classical_Classical_Bela_Bartok_In_Mixolydian_Mode</t>
  </si>
  <si>
    <t>Classical_Classical_Camille_Saint-Saens_Romance</t>
  </si>
  <si>
    <t>Classical_Classical_Claude_Debussy_Doctors_Gradus_ad_Parnassum</t>
  </si>
  <si>
    <t>Classical_Classical_Domenico_Scarlatti_Sonata_in_C_major</t>
  </si>
  <si>
    <t>Classical_Classical_Erik_Satie_Gymnop矇die_No_2</t>
  </si>
  <si>
    <t>Classical_Classical_Erik_Satie_Gymnop矇die_No_3</t>
  </si>
  <si>
    <t>Classical_Classical_Evgeny_Kissin_Grande_valse__Op_42_in_A-Flat</t>
  </si>
  <si>
    <t>Classical_Classical_Evgeny_Kissin_Nocturne__Op_32__No_2_in_A-Flat</t>
  </si>
  <si>
    <t>Classical_Classical_Felix_Mendelssohn_Op19_No6</t>
  </si>
  <si>
    <t>Classical_Classical_Franz_Schubert_An_Sylvia_(Who_is_Sylvia)</t>
  </si>
  <si>
    <t>Classical_Classical_Franz_Schubert_Ave_Maria</t>
  </si>
  <si>
    <t>Classical_Classical_Franz_Schubert_Entr_Acte_from_Rosamunde</t>
  </si>
  <si>
    <t>Classical_Classical_Franz_Schubert_Fischerweise</t>
  </si>
  <si>
    <t>Classical_Classical_Franz_Schubert_Fr羹hlingsglaube</t>
  </si>
  <si>
    <t>Classical_Classical_Franz_Schubert_Im_Fr羹hling</t>
  </si>
  <si>
    <t>Classical_Classical_Franz_Schubert_Piano_Trio_in_E_flat_D929</t>
  </si>
  <si>
    <t>Classical_Classical_Franz_Schubert_Who_is_Silvia</t>
  </si>
  <si>
    <t>Classical_Classical_Franz_Schubert_Wiegenlied_D498_(Op_98_No_2)</t>
  </si>
  <si>
    <t>Classical_Classical_Frederic_Chopin_Nocturne_No_1_in_B-flat_minor</t>
  </si>
  <si>
    <t>Classical_Classical_Frederic_Chopin_Nocturne_Op_9_No_2</t>
  </si>
  <si>
    <t>Classical_Classical_Frederic_Chopin_Overture_no20</t>
  </si>
  <si>
    <t>Classical_Classical_Gabriel_Faure_Le_pays_des_r礙ves</t>
  </si>
  <si>
    <t>Classical_Classical_Gabriel_Faure_Pavane</t>
  </si>
  <si>
    <t>Classical_Classical_George_Frideric_Handel_Impertinence</t>
  </si>
  <si>
    <t>Classical_Classical_George_Frideric_Handel_Lascia_chio_pianga_from_Rinaldo</t>
  </si>
  <si>
    <t>Classical_Classical_Georg_Philipp_Telemann_Minuet</t>
  </si>
  <si>
    <t>Classical_Classical_Georg_Philipp_Telemann_Minuet_by_Telemann</t>
  </si>
  <si>
    <t>Classical_Classical_Giuseppe_Verdi_La_Traviata_-_N14_Largo_del_Finale_II</t>
  </si>
  <si>
    <t>Classical_Classical_Giuseppe_Verdi_La_Traviata_-_N3_Valzer_e_duetto</t>
  </si>
  <si>
    <t>Classical_Classical_Henry_Purcell_The_Queens_Funeral_March</t>
  </si>
  <si>
    <t>Classical_Classical_Jacques_Offenbach_Barcarole</t>
  </si>
  <si>
    <t>Classical_Classical_Jean-Philippe_Rameau_Minuet_en_Rondeau</t>
  </si>
  <si>
    <t>Classical_Classical_Jeremiah_Clarke_Indulo-Marsch</t>
  </si>
  <si>
    <t>Classical_Classical_Johann_Sebastian_Bach_Air_in_D_Major</t>
  </si>
  <si>
    <t>Classical_Classical_Johann_Sebastian_Bach_BWV_1006a_-_Gavotte_en_Rondeau</t>
  </si>
  <si>
    <t>Classical_Classical_Johann_Sebastian_Bach_Das_Wohltemperierte_Clavier_I_Fuga_VI</t>
  </si>
  <si>
    <t>Classical_Classical_Johann_Sebastian_Bach_Das_Wohltemperierte_Clavier_I_Fuga_XV</t>
  </si>
  <si>
    <t>Classical_Classical_Johann_Sebastian_Bach_Die_Kunst_der_Fuge_Contrapunctus_I</t>
  </si>
  <si>
    <t>Classical_Classical_Johann_Sebastian_Bach_French_Suite_no5_Gavottte_in_G</t>
  </si>
  <si>
    <t>Classical_Classical_Johann_Sebastian_Bach_Invention_13</t>
  </si>
  <si>
    <t>Classical_Classical_Johann_Sebastian_Bach_Invention_4_BWV_775</t>
  </si>
  <si>
    <t>Classical_Classical_Johann_Sebastian_Bach_Invention_7</t>
  </si>
  <si>
    <t>Classical_Classical_Johann_Sebastian_Bach_Menuett_2</t>
  </si>
  <si>
    <t>Classical_Classical_Johann_Sebastian_Bach_Sinfonia_6</t>
  </si>
  <si>
    <t>Classical_Classical_Johann_Sebastian_Bach_Wachet_Auf_(Sleepers_Wake)</t>
  </si>
  <si>
    <t>Classical_Classical_John_Philip_Sousa_Hands_Across_the_Sea</t>
  </si>
  <si>
    <t>Classical_Classical_John_Philip_Sousa_The_Stars_and_Stripes_Forever</t>
  </si>
  <si>
    <t>Classical_Classical_Joseph_Haydn_Sonate_II_II_-_Menuetto</t>
  </si>
  <si>
    <t>Classical_Classical_Jules_Massenet_Meditation_from_Thais</t>
  </si>
  <si>
    <t>Classical_Classical_Kodaly_Zoltan_Gyakorlatok_-_Studien</t>
  </si>
  <si>
    <t>Classical_Classical_Ludwig_van_Beethoven_Moonlight_Sonata_2nd_Movement</t>
  </si>
  <si>
    <t>Classical_Classical_Ludwig_van_Beethoven_Piano_Sonata_No12</t>
  </si>
  <si>
    <t>Classical_Classical_Ludwig_van_Beethoven_Piano_Trio_Opus_11_(3rd_Movement)</t>
  </si>
  <si>
    <t>Classical_Classical_Ludwig_van_Beethoven_Rondo_A_Capriccio_Op_129</t>
  </si>
  <si>
    <t>Classical_Classical_Martha_Argerich_Kinderszenen_(Scenes_from_Childhood)_Op_15_13_Der_Dichter_spricht_(The_Poet_Speaks)</t>
  </si>
  <si>
    <t>Classical_Classical_Maurice_Ravel_Bolero</t>
  </si>
  <si>
    <t>Classical_Classical_Murray_Perahia_English_Suite_No_1_in_A_Major__BWV_806Courante_I</t>
  </si>
  <si>
    <t>Classical_Classical_Murray_Perahia_Sonata_for_Piano_in_A_Major__Op_PosthIII_Scherzo_Allegro_vivace</t>
  </si>
  <si>
    <t>Classical_Classical_Pyotr_Ilyich_Tchaikovsky_The_Seasons_August</t>
  </si>
  <si>
    <t>Classical_Classical_Pyotr_Ilyich_Tchaikovsky_Waltz</t>
  </si>
  <si>
    <t>Classical_Classical_Richard_Wagner_Here_Comes_The_Bride</t>
  </si>
  <si>
    <t>Classical_Classical_Robert_Schumann_2Sheherazade</t>
  </si>
  <si>
    <t>Classical_Classical_Robert_Schumann_Ich_Grolle_Nicht</t>
  </si>
  <si>
    <t>Classical_Classical_Robert_Schumann_Joyful_Farmer</t>
  </si>
  <si>
    <t>Classical_Classical_Robert_Schumann_Kinderscenen_-_Tra羹merei</t>
  </si>
  <si>
    <t>Classical_Classical_Robert_Schumann_Soldiers_March_Op68No2</t>
  </si>
  <si>
    <t>Classical_Classical_Robert_Schumann_Widmung</t>
  </si>
  <si>
    <t>Classical_Classical_Wolfgang_Amadeus_Mozart_Clarinet_Quintet</t>
  </si>
  <si>
    <t>Classical_Classical_Wolfgang_Amadeus_Mozart_Fugue_in_G_Minor_KV_154385k</t>
  </si>
  <si>
    <t>Classical_Classical_Wolfgang_Amadeus_Mozart_k379-Score</t>
  </si>
  <si>
    <t>Classical_Classical_Wolfgang_Amadeus_Mozart_KV_2</t>
  </si>
  <si>
    <t>Classical_Classical_Wolfgang_Amadeus_Mozart_KV_520</t>
  </si>
  <si>
    <t>Classical_Classical_Wolfgang_Amadeus_Mozart_Lacrimosa</t>
  </si>
  <si>
    <t>Classical_Classical_Wolfgang_Amadeus_Mozart_Minuet_K94</t>
  </si>
  <si>
    <t>Classical_Classical_Wolfgang_Amadeus_Mozart_Now_Your_Days_of_Philandering_are_Over</t>
  </si>
  <si>
    <t>Classical_Classical_Wolfgang_Amadeus_Mozart_Sonate_Opus_KV_331_-_Tema</t>
  </si>
  <si>
    <t>Classical_Classical_Wolfgang_Amadeus_Mozart_Symphony_No_40</t>
  </si>
  <si>
    <t>Classical_Classical_Wolfgang_Amadeus_Mozart_There_We_Will_Entwine_Our_Hands</t>
  </si>
  <si>
    <t>Classical_Classical_Wolfgang_Amadeus_Mozart_Variations_in_A_K137</t>
  </si>
  <si>
    <t>P25</t>
  </si>
  <si>
    <t>P50</t>
  </si>
  <si>
    <t>P75</t>
  </si>
  <si>
    <t>平均</t>
    <phoneticPr fontId="18" type="noConversion"/>
  </si>
  <si>
    <t>Classical_Classical_Frederic_Chopin_Nocturne_Op_9_No_2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</si>
</sst>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SDR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F1803E35-CFE0-46C4-BFA9-B85AD353099C}">
          <cx:tx>
            <cx:txData>
              <cx:f>_xlchart.v1.8</cx:f>
              <cx:v>SDR</cx:v>
            </cx:txData>
          </cx:tx>
          <cx:dataId val="0"/>
          <cx:layoutPr>
            <cx:binning intervalClosed="r" underflow="-2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SI-SDR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19DBA7F7-F81A-41FE-B2F7-20E569723630}">
          <cx:tx>
            <cx:txData>
              <cx:f>_xlchart.v1.6</cx:f>
              <cx:v>SI-SDR</cx:v>
            </cx:txData>
          </cx:tx>
          <cx:dataId val="0"/>
          <cx:layoutPr>
            <cx:binning intervalClosed="r" underflow="auto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SAR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949FE584-3D22-4415-A3F6-78A58A376703}">
          <cx:tx>
            <cx:txData>
              <cx:f>_xlchart.v1.2</cx:f>
              <cx:v>SAR</cx:v>
            </cx:txData>
          </cx:tx>
          <cx:dataId val="0"/>
          <cx:layoutPr>
            <cx:binning intervalClosed="r" underflow="5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SIR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F311382A-9D0B-45F8-8121-ED14BB9D8AD2}">
          <cx:tx>
            <cx:txData>
              <cx:f>_xlchart.v1.12</cx:f>
              <cx:v>SIR</cx:v>
            </cx:txData>
          </cx:tx>
          <cx:dataId val="0"/>
          <cx:layoutPr>
            <cx:binning intervalClosed="r" underflow="0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SDR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69AA991C-5662-41BA-81CD-C25ED770AAE7}">
          <cx:tx>
            <cx:txData>
              <cx:f>_xlchart.v1.32</cx:f>
              <cx:v>SDR</cx:v>
            </cx:txData>
          </cx:tx>
          <cx:dataId val="0"/>
          <cx:layoutPr>
            <cx:binning intervalClosed="r" underflow="3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SI-SDR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0F628965-9A34-444D-93D9-1BED7E31B134}">
          <cx:tx>
            <cx:txData>
              <cx:f>_xlchart.v1.26</cx:f>
              <cx:v>SI-SDR</cx:v>
            </cx:txData>
          </cx:tx>
          <cx:dataId val="0"/>
          <cx:layoutPr>
            <cx:binning intervalClosed="r" underflow="3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SAR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TW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rPr>
            <a:t>SAR</a:t>
          </a:r>
        </a:p>
      </cx:txPr>
    </cx:title>
    <cx:plotArea>
      <cx:plotAreaRegion>
        <cx:series layoutId="clusteredColumn" uniqueId="{D19A43BE-EE00-4FC8-B3EE-FE77C62DFBB1}">
          <cx:tx>
            <cx:txData>
              <cx:f>_xlchart.v1.30</cx:f>
              <cx:v>SAR</cx:v>
            </cx:txData>
          </cx:tx>
          <cx:dataId val="0"/>
          <cx:layoutPr>
            <cx:binning intervalClosed="r" underflow="8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TW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新細明體" panose="02020500000000000000" pitchFamily="18" charset="-120"/>
              </a:rPr>
              <a:t>SIR</a:t>
            </a:r>
            <a:endParaRPr lang="zh-TW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新細明體" panose="02020500000000000000" pitchFamily="18" charset="-120"/>
            </a:endParaRPr>
          </a:p>
        </cx:rich>
      </cx:tx>
    </cx:title>
    <cx:plotArea>
      <cx:plotAreaRegion>
        <cx:series layoutId="clusteredColumn" uniqueId="{9AD8F068-8BE6-4406-876C-A5C853ACCB42}">
          <cx:tx>
            <cx:txData>
              <cx:f>_xlchart.v1.21</cx:f>
              <cx:v>SIR</cx:v>
            </cx:txData>
          </cx:tx>
          <cx:dataId val="0"/>
          <cx:layoutPr>
            <cx:binning intervalClosed="r" underflow="5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51</xdr:row>
      <xdr:rowOff>161925</xdr:rowOff>
    </xdr:from>
    <xdr:to>
      <xdr:col>13</xdr:col>
      <xdr:colOff>533400</xdr:colOff>
      <xdr:row>64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08A6691C-2D25-4F71-84D6-BD86485CB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108489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14</xdr:col>
      <xdr:colOff>638175</xdr:colOff>
      <xdr:row>50</xdr:row>
      <xdr:rowOff>200025</xdr:rowOff>
    </xdr:from>
    <xdr:to>
      <xdr:col>21</xdr:col>
      <xdr:colOff>409575</xdr:colOff>
      <xdr:row>64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圖表 3">
              <a:extLst>
                <a:ext uri="{FF2B5EF4-FFF2-40B4-BE49-F238E27FC236}">
                  <a16:creationId xmlns:a16="http://schemas.microsoft.com/office/drawing/2014/main" id="{0CD4191B-3D95-42CE-A45C-73668B8E36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375" y="10677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14</xdr:col>
      <xdr:colOff>161925</xdr:colOff>
      <xdr:row>70</xdr:row>
      <xdr:rowOff>38100</xdr:rowOff>
    </xdr:from>
    <xdr:to>
      <xdr:col>20</xdr:col>
      <xdr:colOff>619125</xdr:colOff>
      <xdr:row>83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圖表 4">
              <a:extLst>
                <a:ext uri="{FF2B5EF4-FFF2-40B4-BE49-F238E27FC236}">
                  <a16:creationId xmlns:a16="http://schemas.microsoft.com/office/drawing/2014/main" id="{443AF5D1-7A17-4DEB-987B-46070AC531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3125" y="14706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7</xdr:col>
      <xdr:colOff>28575</xdr:colOff>
      <xdr:row>71</xdr:row>
      <xdr:rowOff>9525</xdr:rowOff>
    </xdr:from>
    <xdr:to>
      <xdr:col>13</xdr:col>
      <xdr:colOff>485775</xdr:colOff>
      <xdr:row>84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圖表 5">
              <a:extLst>
                <a:ext uri="{FF2B5EF4-FFF2-40B4-BE49-F238E27FC236}">
                  <a16:creationId xmlns:a16="http://schemas.microsoft.com/office/drawing/2014/main" id="{AFD5B014-97CE-407D-87AE-196D91F89A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9175" y="14887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366712</xdr:colOff>
      <xdr:row>58</xdr:row>
      <xdr:rowOff>95250</xdr:rowOff>
    </xdr:from>
    <xdr:to>
      <xdr:col>13</xdr:col>
      <xdr:colOff>138112</xdr:colOff>
      <xdr:row>71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圖表 2">
              <a:extLst>
                <a:ext uri="{FF2B5EF4-FFF2-40B4-BE49-F238E27FC236}">
                  <a16:creationId xmlns:a16="http://schemas.microsoft.com/office/drawing/2014/main" id="{FE769774-1E66-47EF-B351-EF35FBB0E9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1512" y="12249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14</xdr:col>
      <xdr:colOff>100012</xdr:colOff>
      <xdr:row>58</xdr:row>
      <xdr:rowOff>19050</xdr:rowOff>
    </xdr:from>
    <xdr:to>
      <xdr:col>20</xdr:col>
      <xdr:colOff>557212</xdr:colOff>
      <xdr:row>71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圖表 3">
              <a:extLst>
                <a:ext uri="{FF2B5EF4-FFF2-40B4-BE49-F238E27FC236}">
                  <a16:creationId xmlns:a16="http://schemas.microsoft.com/office/drawing/2014/main" id="{AB528634-33C8-412B-B4D3-F3C661594E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1212" y="12172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14</xdr:col>
      <xdr:colOff>166687</xdr:colOff>
      <xdr:row>73</xdr:row>
      <xdr:rowOff>76200</xdr:rowOff>
    </xdr:from>
    <xdr:to>
      <xdr:col>20</xdr:col>
      <xdr:colOff>623887</xdr:colOff>
      <xdr:row>86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圖表 4">
              <a:extLst>
                <a:ext uri="{FF2B5EF4-FFF2-40B4-BE49-F238E27FC236}">
                  <a16:creationId xmlns:a16="http://schemas.microsoft.com/office/drawing/2014/main" id="{20321CF3-F75E-4011-8038-E5DE8D01AC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7887" y="15373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  <xdr:twoCellAnchor>
    <xdr:from>
      <xdr:col>6</xdr:col>
      <xdr:colOff>347662</xdr:colOff>
      <xdr:row>74</xdr:row>
      <xdr:rowOff>76200</xdr:rowOff>
    </xdr:from>
    <xdr:to>
      <xdr:col>13</xdr:col>
      <xdr:colOff>119062</xdr:colOff>
      <xdr:row>87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圖表 5">
              <a:extLst>
                <a:ext uri="{FF2B5EF4-FFF2-40B4-BE49-F238E27FC236}">
                  <a16:creationId xmlns:a16="http://schemas.microsoft.com/office/drawing/2014/main" id="{C40ACD07-1267-4337-A4C0-C64CA70C6D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2462" y="15582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此圖表在您的 Excel 版本中無法使用。
若編輯此圖案或將此活頁簿儲存為不同格式，將永久破壞圖表。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>
      <pane ySplit="1" topLeftCell="A58" activePane="bottomLeft" state="frozen"/>
      <selection pane="bottomLeft" activeCell="A22" sqref="A22"/>
    </sheetView>
  </sheetViews>
  <sheetFormatPr defaultRowHeight="16.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8.9267716380022506</v>
      </c>
      <c r="D2">
        <v>8.4335622787475497</v>
      </c>
      <c r="E2">
        <v>14.432118371284799</v>
      </c>
      <c r="F2">
        <v>10.516219105843801</v>
      </c>
    </row>
    <row r="3" spans="1:6" x14ac:dyDescent="0.25">
      <c r="A3" t="s">
        <v>9</v>
      </c>
      <c r="B3" t="s">
        <v>7</v>
      </c>
      <c r="C3">
        <v>11.325672399144601</v>
      </c>
      <c r="D3">
        <v>11.127489089965801</v>
      </c>
      <c r="E3">
        <v>17.473132530144198</v>
      </c>
      <c r="F3">
        <v>12.6106052632323</v>
      </c>
    </row>
    <row r="4" spans="1:6" x14ac:dyDescent="0.25">
      <c r="A4" t="s">
        <v>10</v>
      </c>
      <c r="B4" t="s">
        <v>7</v>
      </c>
      <c r="C4">
        <v>5.67957579415918</v>
      </c>
      <c r="D4">
        <v>4.1042857170104901</v>
      </c>
      <c r="E4">
        <v>14.0113145017569</v>
      </c>
      <c r="F4">
        <v>6.5383497768077703</v>
      </c>
    </row>
    <row r="5" spans="1:6" x14ac:dyDescent="0.25">
      <c r="A5" t="s">
        <v>11</v>
      </c>
      <c r="B5" t="s">
        <v>7</v>
      </c>
      <c r="C5">
        <v>5.5219229520064399</v>
      </c>
      <c r="D5">
        <v>4.5908961296081499</v>
      </c>
      <c r="E5">
        <v>11.3031729142935</v>
      </c>
      <c r="F5">
        <v>7.1644712632375001</v>
      </c>
    </row>
    <row r="6" spans="1:6" x14ac:dyDescent="0.25">
      <c r="A6" t="s">
        <v>12</v>
      </c>
      <c r="B6" t="s">
        <v>7</v>
      </c>
      <c r="C6">
        <v>4.5524791101138797</v>
      </c>
      <c r="D6">
        <v>3.5673685073852499</v>
      </c>
      <c r="E6">
        <v>9.1638477363720199</v>
      </c>
      <c r="F6">
        <v>6.8925280033848102</v>
      </c>
    </row>
    <row r="7" spans="1:6" x14ac:dyDescent="0.25">
      <c r="A7" t="s">
        <v>13</v>
      </c>
      <c r="B7" t="s">
        <v>7</v>
      </c>
      <c r="C7">
        <v>8.7536384408442096</v>
      </c>
      <c r="D7">
        <v>4.1767549514770499</v>
      </c>
      <c r="E7">
        <v>20.153581017574101</v>
      </c>
      <c r="F7">
        <v>9.1219590929954695</v>
      </c>
    </row>
    <row r="8" spans="1:6" x14ac:dyDescent="0.25">
      <c r="A8" t="s">
        <v>14</v>
      </c>
      <c r="B8" t="s">
        <v>7</v>
      </c>
      <c r="C8">
        <v>4.7326778556662896</v>
      </c>
      <c r="D8">
        <v>2.53687143325805</v>
      </c>
      <c r="E8">
        <v>8.0260362330449695</v>
      </c>
      <c r="F8">
        <v>8.1126123380218402</v>
      </c>
    </row>
    <row r="9" spans="1:6" x14ac:dyDescent="0.25">
      <c r="A9" t="s">
        <v>15</v>
      </c>
      <c r="B9" t="s">
        <v>7</v>
      </c>
      <c r="C9">
        <v>11.726627979003901</v>
      </c>
      <c r="D9">
        <v>10.8098392486572</v>
      </c>
      <c r="E9">
        <v>19.4133898330881</v>
      </c>
      <c r="F9">
        <v>12.5870690173581</v>
      </c>
    </row>
    <row r="10" spans="1:6" x14ac:dyDescent="0.25">
      <c r="A10" t="s">
        <v>16</v>
      </c>
      <c r="B10" t="s">
        <v>7</v>
      </c>
      <c r="C10">
        <v>14.840854743484</v>
      </c>
      <c r="D10">
        <v>14.292269706726</v>
      </c>
      <c r="E10">
        <v>21.880665629148901</v>
      </c>
      <c r="F10">
        <v>15.8255915682969</v>
      </c>
    </row>
    <row r="11" spans="1:6" x14ac:dyDescent="0.25">
      <c r="A11" t="s">
        <v>17</v>
      </c>
      <c r="B11" t="s">
        <v>7</v>
      </c>
      <c r="C11">
        <v>6.4731352308807804</v>
      </c>
      <c r="D11">
        <v>6.0570602416992099</v>
      </c>
      <c r="E11">
        <v>11.704531191372601</v>
      </c>
      <c r="F11">
        <v>8.3048699772979102</v>
      </c>
    </row>
    <row r="12" spans="1:6" x14ac:dyDescent="0.25">
      <c r="A12" t="s">
        <v>18</v>
      </c>
      <c r="B12" t="s">
        <v>7</v>
      </c>
      <c r="C12">
        <v>9.7129730690714098</v>
      </c>
      <c r="D12">
        <v>9.0855073928833008</v>
      </c>
      <c r="E12">
        <v>14.919489736898599</v>
      </c>
      <c r="F12">
        <v>11.409271803178299</v>
      </c>
    </row>
    <row r="13" spans="1:6" x14ac:dyDescent="0.25">
      <c r="A13" t="s">
        <v>19</v>
      </c>
      <c r="B13" t="s">
        <v>7</v>
      </c>
      <c r="C13">
        <v>13.9594904830758</v>
      </c>
      <c r="D13">
        <v>13.683453559875399</v>
      </c>
      <c r="E13">
        <v>19.5955803442545</v>
      </c>
      <c r="F13">
        <v>15.3924124648467</v>
      </c>
    </row>
    <row r="14" spans="1:6" x14ac:dyDescent="0.25">
      <c r="A14" t="s">
        <v>20</v>
      </c>
      <c r="B14" t="s">
        <v>7</v>
      </c>
      <c r="C14">
        <v>9.3096856045553498</v>
      </c>
      <c r="D14">
        <v>8.8858489990234304</v>
      </c>
      <c r="E14">
        <v>13.4039709845872</v>
      </c>
      <c r="F14">
        <v>11.647171499232201</v>
      </c>
    </row>
    <row r="15" spans="1:6" x14ac:dyDescent="0.25">
      <c r="A15" t="s">
        <v>21</v>
      </c>
      <c r="B15" t="s">
        <v>7</v>
      </c>
      <c r="C15">
        <v>7.4989061596482296</v>
      </c>
      <c r="D15">
        <v>6.0615639686584402</v>
      </c>
      <c r="E15">
        <v>12.069135938039199</v>
      </c>
      <c r="F15">
        <v>9.6255602427479907</v>
      </c>
    </row>
    <row r="16" spans="1:6" x14ac:dyDescent="0.25">
      <c r="A16" t="s">
        <v>22</v>
      </c>
      <c r="B16" t="s">
        <v>7</v>
      </c>
      <c r="C16">
        <v>7.4995981624851602</v>
      </c>
      <c r="D16">
        <v>6.5752096176147399</v>
      </c>
      <c r="E16">
        <v>13.337174158840501</v>
      </c>
      <c r="F16">
        <v>9.0086215721424292</v>
      </c>
    </row>
    <row r="17" spans="1:6" x14ac:dyDescent="0.25">
      <c r="A17" t="s">
        <v>23</v>
      </c>
      <c r="B17" t="s">
        <v>7</v>
      </c>
      <c r="C17">
        <v>16.069679982647699</v>
      </c>
      <c r="D17">
        <v>14.7181549072265</v>
      </c>
      <c r="E17">
        <v>21.4024055425288</v>
      </c>
      <c r="F17">
        <v>17.606236192801401</v>
      </c>
    </row>
    <row r="18" spans="1:6" x14ac:dyDescent="0.25">
      <c r="A18" t="s">
        <v>24</v>
      </c>
      <c r="B18" t="s">
        <v>7</v>
      </c>
      <c r="C18">
        <v>9.5495099974295492</v>
      </c>
      <c r="D18">
        <v>8.0443210601806605</v>
      </c>
      <c r="E18">
        <v>15.987875932269301</v>
      </c>
      <c r="F18">
        <v>10.7761588102862</v>
      </c>
    </row>
    <row r="19" spans="1:6" x14ac:dyDescent="0.25">
      <c r="A19" t="s">
        <v>25</v>
      </c>
      <c r="B19" t="s">
        <v>7</v>
      </c>
      <c r="C19">
        <v>9.1029064458779008</v>
      </c>
      <c r="D19">
        <v>8.1113300323486293</v>
      </c>
      <c r="E19">
        <v>16.356510881190399</v>
      </c>
      <c r="F19">
        <v>10.1078095707363</v>
      </c>
    </row>
    <row r="20" spans="1:6" x14ac:dyDescent="0.25">
      <c r="A20" t="s">
        <v>26</v>
      </c>
      <c r="B20" t="s">
        <v>7</v>
      </c>
      <c r="C20">
        <v>10.324717564405599</v>
      </c>
      <c r="D20">
        <v>9.1198768615722603</v>
      </c>
      <c r="E20">
        <v>14.164520229819701</v>
      </c>
      <c r="F20">
        <v>12.802184285738401</v>
      </c>
    </row>
    <row r="21" spans="1:6" x14ac:dyDescent="0.25">
      <c r="A21" t="s">
        <v>27</v>
      </c>
      <c r="B21" t="s">
        <v>7</v>
      </c>
      <c r="C21">
        <v>6.7384953558774496</v>
      </c>
      <c r="D21">
        <v>6.5903592109680096</v>
      </c>
      <c r="E21">
        <v>11.839642635353099</v>
      </c>
      <c r="F21">
        <v>8.6187957562748796</v>
      </c>
    </row>
    <row r="22" spans="1:6" x14ac:dyDescent="0.25">
      <c r="A22" t="s">
        <v>92</v>
      </c>
      <c r="B22" t="s">
        <v>7</v>
      </c>
      <c r="C22">
        <v>-2.8067554631296199</v>
      </c>
      <c r="D22">
        <v>-2.9097473621368399</v>
      </c>
      <c r="E22">
        <v>-0.59818586140354202</v>
      </c>
      <c r="F22">
        <v>4.5072478883145504</v>
      </c>
    </row>
    <row r="23" spans="1:6" x14ac:dyDescent="0.25">
      <c r="A23" t="s">
        <v>29</v>
      </c>
      <c r="B23" t="s">
        <v>7</v>
      </c>
      <c r="C23">
        <v>6.4041511887429499</v>
      </c>
      <c r="D23">
        <v>5.2692079544067303</v>
      </c>
      <c r="E23">
        <v>14.4685122587204</v>
      </c>
      <c r="F23">
        <v>7.2940446723236603</v>
      </c>
    </row>
    <row r="24" spans="1:6" x14ac:dyDescent="0.25">
      <c r="A24" t="s">
        <v>30</v>
      </c>
      <c r="B24" t="s">
        <v>7</v>
      </c>
      <c r="C24">
        <v>3.9277833741228401</v>
      </c>
      <c r="D24">
        <v>2.4156897068023602</v>
      </c>
      <c r="E24">
        <v>9.2783079147005996</v>
      </c>
      <c r="F24">
        <v>5.9103779929687201</v>
      </c>
    </row>
    <row r="25" spans="1:6" x14ac:dyDescent="0.25">
      <c r="A25" t="s">
        <v>31</v>
      </c>
      <c r="B25" t="s">
        <v>7</v>
      </c>
      <c r="C25">
        <v>12.7762336333322</v>
      </c>
      <c r="D25">
        <v>11.6830539703369</v>
      </c>
      <c r="E25">
        <v>19.845511799262201</v>
      </c>
      <c r="F25">
        <v>13.7704355756978</v>
      </c>
    </row>
    <row r="26" spans="1:6" x14ac:dyDescent="0.25">
      <c r="A26" t="s">
        <v>32</v>
      </c>
      <c r="B26" t="s">
        <v>7</v>
      </c>
      <c r="C26">
        <v>14.4705399209089</v>
      </c>
      <c r="D26">
        <v>13.9563541412353</v>
      </c>
      <c r="E26">
        <v>22.308868061238201</v>
      </c>
      <c r="F26">
        <v>15.276524201672601</v>
      </c>
    </row>
    <row r="27" spans="1:6" x14ac:dyDescent="0.25">
      <c r="A27" t="s">
        <v>33</v>
      </c>
      <c r="B27" t="s">
        <v>7</v>
      </c>
      <c r="C27">
        <v>9.9901188252780493</v>
      </c>
      <c r="D27">
        <v>9.3868007659912092</v>
      </c>
      <c r="E27">
        <v>16.998652072912801</v>
      </c>
      <c r="F27">
        <v>11.040349752521699</v>
      </c>
    </row>
    <row r="28" spans="1:6" x14ac:dyDescent="0.25">
      <c r="A28" t="s">
        <v>34</v>
      </c>
      <c r="B28" t="s">
        <v>7</v>
      </c>
      <c r="C28">
        <v>15.9613760984724</v>
      </c>
      <c r="D28">
        <v>15.3751173019409</v>
      </c>
      <c r="E28">
        <v>25.629160948353899</v>
      </c>
      <c r="F28">
        <v>16.469347946867099</v>
      </c>
    </row>
    <row r="29" spans="1:6" x14ac:dyDescent="0.25">
      <c r="A29" t="s">
        <v>35</v>
      </c>
      <c r="B29" t="s">
        <v>7</v>
      </c>
      <c r="C29">
        <v>15.9613760984724</v>
      </c>
      <c r="D29">
        <v>15.3751173019409</v>
      </c>
      <c r="E29">
        <v>25.629160948353899</v>
      </c>
      <c r="F29">
        <v>16.469347946867099</v>
      </c>
    </row>
    <row r="30" spans="1:6" x14ac:dyDescent="0.25">
      <c r="A30" t="s">
        <v>36</v>
      </c>
      <c r="B30" t="s">
        <v>7</v>
      </c>
      <c r="C30">
        <v>4.3615118544307201</v>
      </c>
      <c r="D30">
        <v>4.0784778594970703</v>
      </c>
      <c r="E30">
        <v>8.6499279707174797</v>
      </c>
      <c r="F30">
        <v>6.94110893407428</v>
      </c>
    </row>
    <row r="31" spans="1:6" x14ac:dyDescent="0.25">
      <c r="A31" t="s">
        <v>37</v>
      </c>
      <c r="B31" t="s">
        <v>7</v>
      </c>
      <c r="C31">
        <v>8.2260018895571907</v>
      </c>
      <c r="D31">
        <v>7.8588237762451101</v>
      </c>
      <c r="E31">
        <v>12.114531604285901</v>
      </c>
      <c r="F31">
        <v>10.7651532858194</v>
      </c>
    </row>
    <row r="32" spans="1:6" x14ac:dyDescent="0.25">
      <c r="A32" t="s">
        <v>38</v>
      </c>
      <c r="B32" t="s">
        <v>7</v>
      </c>
      <c r="C32">
        <v>3.7388918901956001</v>
      </c>
      <c r="D32">
        <v>3.39445805549621</v>
      </c>
      <c r="E32">
        <v>6.3445155297136404</v>
      </c>
      <c r="F32">
        <v>8.1017081785873106</v>
      </c>
    </row>
    <row r="33" spans="1:6" x14ac:dyDescent="0.25">
      <c r="A33" t="s">
        <v>39</v>
      </c>
      <c r="B33" t="s">
        <v>7</v>
      </c>
      <c r="C33">
        <v>10.5422381315183</v>
      </c>
      <c r="D33">
        <v>10.061673164367599</v>
      </c>
      <c r="E33">
        <v>13.269962260494699</v>
      </c>
      <c r="F33">
        <v>14.054661222107001</v>
      </c>
    </row>
    <row r="34" spans="1:6" x14ac:dyDescent="0.25">
      <c r="A34" t="s">
        <v>40</v>
      </c>
      <c r="B34" t="s">
        <v>7</v>
      </c>
      <c r="C34">
        <v>14.3691913565942</v>
      </c>
      <c r="D34">
        <v>13.976283073425201</v>
      </c>
      <c r="E34">
        <v>23.649751552471901</v>
      </c>
      <c r="F34">
        <v>14.933289807993599</v>
      </c>
    </row>
    <row r="35" spans="1:6" x14ac:dyDescent="0.25">
      <c r="A35" t="s">
        <v>41</v>
      </c>
      <c r="B35" t="s">
        <v>7</v>
      </c>
      <c r="C35">
        <v>13.446987013887099</v>
      </c>
      <c r="D35">
        <v>12.4638557434082</v>
      </c>
      <c r="E35">
        <v>20.957027238357199</v>
      </c>
      <c r="F35">
        <v>14.3298925945367</v>
      </c>
    </row>
    <row r="36" spans="1:6" x14ac:dyDescent="0.25">
      <c r="A36" t="s">
        <v>42</v>
      </c>
      <c r="B36" t="s">
        <v>7</v>
      </c>
      <c r="C36">
        <v>12.166451937226</v>
      </c>
      <c r="D36">
        <v>10.222973823547299</v>
      </c>
      <c r="E36">
        <v>22.2957143889066</v>
      </c>
      <c r="F36">
        <v>12.6354222451398</v>
      </c>
    </row>
    <row r="37" spans="1:6" x14ac:dyDescent="0.25">
      <c r="A37" t="s">
        <v>43</v>
      </c>
      <c r="B37" t="s">
        <v>7</v>
      </c>
      <c r="C37">
        <v>9.2364715556394508</v>
      </c>
      <c r="D37">
        <v>7.0812444686889604</v>
      </c>
      <c r="E37">
        <v>24.500349221689099</v>
      </c>
      <c r="F37">
        <v>9.38305429802916</v>
      </c>
    </row>
    <row r="38" spans="1:6" x14ac:dyDescent="0.25">
      <c r="A38" t="s">
        <v>44</v>
      </c>
      <c r="B38" t="s">
        <v>7</v>
      </c>
      <c r="C38">
        <v>10.109061167521</v>
      </c>
      <c r="D38">
        <v>8.9738216400146396</v>
      </c>
      <c r="E38">
        <v>19.010148265749802</v>
      </c>
      <c r="F38">
        <v>10.7620532891947</v>
      </c>
    </row>
    <row r="39" spans="1:6" x14ac:dyDescent="0.25">
      <c r="A39" t="s">
        <v>45</v>
      </c>
      <c r="B39" t="s">
        <v>7</v>
      </c>
      <c r="C39">
        <v>8.3107085499504407</v>
      </c>
      <c r="D39">
        <v>7.5382795333862296</v>
      </c>
      <c r="E39">
        <v>19.123529961734601</v>
      </c>
      <c r="F39">
        <v>8.7395079835949296</v>
      </c>
    </row>
    <row r="40" spans="1:6" x14ac:dyDescent="0.25">
      <c r="A40" t="s">
        <v>46</v>
      </c>
      <c r="B40" t="s">
        <v>7</v>
      </c>
      <c r="C40">
        <v>6.7161895629171902</v>
      </c>
      <c r="D40">
        <v>5.8112602233886701</v>
      </c>
      <c r="E40">
        <v>11.8738888756567</v>
      </c>
      <c r="F40">
        <v>8.5693470344902902</v>
      </c>
    </row>
    <row r="41" spans="1:6" x14ac:dyDescent="0.25">
      <c r="A41" t="s">
        <v>47</v>
      </c>
      <c r="B41" t="s">
        <v>7</v>
      </c>
      <c r="C41">
        <v>11.709258157573901</v>
      </c>
      <c r="D41">
        <v>11.3496036529541</v>
      </c>
      <c r="E41">
        <v>20.999000968867598</v>
      </c>
      <c r="F41">
        <v>12.2877968058138</v>
      </c>
    </row>
    <row r="42" spans="1:6" x14ac:dyDescent="0.25">
      <c r="A42" t="s">
        <v>48</v>
      </c>
      <c r="B42" t="s">
        <v>7</v>
      </c>
      <c r="C42">
        <v>7.75313940133183</v>
      </c>
      <c r="D42">
        <v>7.48445320129394</v>
      </c>
      <c r="E42">
        <v>13.9756184961446</v>
      </c>
      <c r="F42">
        <v>9.1077454782428298</v>
      </c>
    </row>
    <row r="43" spans="1:6" x14ac:dyDescent="0.25">
      <c r="A43" t="s">
        <v>49</v>
      </c>
      <c r="B43" t="s">
        <v>7</v>
      </c>
      <c r="C43">
        <v>12.182245505732901</v>
      </c>
      <c r="D43">
        <v>11.7234907150268</v>
      </c>
      <c r="E43">
        <v>19.7106655085813</v>
      </c>
      <c r="F43">
        <v>13.072670789676099</v>
      </c>
    </row>
    <row r="44" spans="1:6" x14ac:dyDescent="0.25">
      <c r="A44" t="s">
        <v>50</v>
      </c>
      <c r="B44" t="s">
        <v>7</v>
      </c>
      <c r="C44">
        <v>11.411206449737699</v>
      </c>
      <c r="D44">
        <v>10.911297798156699</v>
      </c>
      <c r="E44">
        <v>18.861001932150302</v>
      </c>
      <c r="F44">
        <v>12.3286036993228</v>
      </c>
    </row>
    <row r="45" spans="1:6" x14ac:dyDescent="0.25">
      <c r="A45" t="s">
        <v>51</v>
      </c>
      <c r="B45" t="s">
        <v>7</v>
      </c>
      <c r="C45">
        <v>14.008115316079399</v>
      </c>
      <c r="D45">
        <v>13.206981658935501</v>
      </c>
      <c r="E45">
        <v>22.222499910160899</v>
      </c>
      <c r="F45">
        <v>14.7442558899363</v>
      </c>
    </row>
    <row r="46" spans="1:6" x14ac:dyDescent="0.25">
      <c r="A46" t="s">
        <v>52</v>
      </c>
      <c r="B46" t="s">
        <v>7</v>
      </c>
      <c r="C46">
        <v>8.5976047728507297</v>
      </c>
      <c r="D46">
        <v>8.3057155609130806</v>
      </c>
      <c r="E46">
        <v>14.888185380735599</v>
      </c>
      <c r="F46">
        <v>9.8992835114961295</v>
      </c>
    </row>
    <row r="47" spans="1:6" x14ac:dyDescent="0.25">
      <c r="A47" t="s">
        <v>53</v>
      </c>
      <c r="B47" t="s">
        <v>7</v>
      </c>
      <c r="C47">
        <v>8.4062204399199594</v>
      </c>
      <c r="D47">
        <v>5.9701919555664</v>
      </c>
      <c r="E47">
        <v>17.622990043911699</v>
      </c>
      <c r="F47">
        <v>9.0346565293665204</v>
      </c>
    </row>
    <row r="48" spans="1:6" x14ac:dyDescent="0.25">
      <c r="A48" t="s">
        <v>54</v>
      </c>
      <c r="B48" t="s">
        <v>7</v>
      </c>
      <c r="C48">
        <v>10.1006475972333</v>
      </c>
      <c r="D48">
        <v>9.5465984344482404</v>
      </c>
      <c r="E48">
        <v>16.235073853406899</v>
      </c>
      <c r="F48">
        <v>11.4148779421157</v>
      </c>
    </row>
    <row r="49" spans="1:6" x14ac:dyDescent="0.25">
      <c r="A49" t="s">
        <v>55</v>
      </c>
      <c r="B49" t="s">
        <v>7</v>
      </c>
      <c r="C49">
        <v>7.63953959119657</v>
      </c>
      <c r="D49">
        <v>7.0284433364868102</v>
      </c>
      <c r="E49">
        <v>14.460090487847999</v>
      </c>
      <c r="F49">
        <v>8.8047731875420592</v>
      </c>
    </row>
    <row r="50" spans="1:6" x14ac:dyDescent="0.25">
      <c r="A50" t="s">
        <v>56</v>
      </c>
      <c r="B50" t="s">
        <v>7</v>
      </c>
      <c r="C50">
        <v>6.42193934596059</v>
      </c>
      <c r="D50">
        <v>6.3549919128417898</v>
      </c>
      <c r="E50">
        <v>8.9914559702995902</v>
      </c>
      <c r="F50">
        <v>10.4387915611929</v>
      </c>
    </row>
    <row r="51" spans="1:6" x14ac:dyDescent="0.25">
      <c r="A51" t="s">
        <v>57</v>
      </c>
      <c r="B51" t="s">
        <v>7</v>
      </c>
      <c r="C51">
        <v>10.9228771794339</v>
      </c>
      <c r="D51">
        <v>9.9618797302246094</v>
      </c>
      <c r="E51">
        <v>18.1881759706976</v>
      </c>
      <c r="F51">
        <v>11.8911433305567</v>
      </c>
    </row>
    <row r="52" spans="1:6" x14ac:dyDescent="0.25">
      <c r="A52" t="s">
        <v>58</v>
      </c>
      <c r="B52" t="s">
        <v>7</v>
      </c>
      <c r="C52">
        <v>13.5531735171711</v>
      </c>
      <c r="D52">
        <v>12.459474563598601</v>
      </c>
      <c r="E52">
        <v>20.53242340796</v>
      </c>
      <c r="F52">
        <v>14.563139823379201</v>
      </c>
    </row>
    <row r="53" spans="1:6" x14ac:dyDescent="0.25">
      <c r="A53" t="s">
        <v>59</v>
      </c>
      <c r="B53" t="s">
        <v>7</v>
      </c>
      <c r="C53">
        <v>7.4328928110209498</v>
      </c>
      <c r="D53">
        <v>6.6802921295165998</v>
      </c>
      <c r="E53">
        <v>15.1275949874169</v>
      </c>
      <c r="F53">
        <v>8.3736307074007108</v>
      </c>
    </row>
    <row r="54" spans="1:6" x14ac:dyDescent="0.25">
      <c r="A54" t="s">
        <v>60</v>
      </c>
      <c r="B54" t="s">
        <v>7</v>
      </c>
      <c r="C54">
        <v>10.269801951373299</v>
      </c>
      <c r="D54">
        <v>7.8619117736816397</v>
      </c>
      <c r="E54">
        <v>22.742196655141498</v>
      </c>
      <c r="F54">
        <v>10.545845974618199</v>
      </c>
    </row>
    <row r="55" spans="1:6" x14ac:dyDescent="0.25">
      <c r="A55" t="s">
        <v>61</v>
      </c>
      <c r="B55" t="s">
        <v>7</v>
      </c>
      <c r="C55">
        <v>5.8396946018092697</v>
      </c>
      <c r="D55">
        <v>4.26367139816284</v>
      </c>
      <c r="E55">
        <v>11.918645300916401</v>
      </c>
      <c r="F55">
        <v>7.3403996443447603</v>
      </c>
    </row>
    <row r="56" spans="1:6" x14ac:dyDescent="0.25">
      <c r="A56" t="s">
        <v>62</v>
      </c>
      <c r="B56" t="s">
        <v>7</v>
      </c>
      <c r="C56">
        <v>5.2842093899407399</v>
      </c>
      <c r="D56">
        <v>4.70723056793212</v>
      </c>
      <c r="E56">
        <v>9.9826659396002402</v>
      </c>
      <c r="F56">
        <v>7.4974677527787001</v>
      </c>
    </row>
    <row r="57" spans="1:6" x14ac:dyDescent="0.25">
      <c r="A57" t="s">
        <v>63</v>
      </c>
      <c r="B57" t="s">
        <v>7</v>
      </c>
      <c r="C57">
        <v>9.2846200729391306</v>
      </c>
      <c r="D57">
        <v>8.0818262100219709</v>
      </c>
      <c r="E57">
        <v>17.322707006318499</v>
      </c>
      <c r="F57">
        <v>10.106599393109599</v>
      </c>
    </row>
    <row r="58" spans="1:6" x14ac:dyDescent="0.25">
      <c r="A58" t="s">
        <v>64</v>
      </c>
      <c r="B58" t="s">
        <v>7</v>
      </c>
      <c r="C58">
        <v>11.598012566978801</v>
      </c>
      <c r="D58">
        <v>10.581269264221101</v>
      </c>
      <c r="E58">
        <v>17.658942663178699</v>
      </c>
      <c r="F58">
        <v>12.9078626715478</v>
      </c>
    </row>
    <row r="59" spans="1:6" x14ac:dyDescent="0.25">
      <c r="A59" t="s">
        <v>65</v>
      </c>
      <c r="B59" t="s">
        <v>7</v>
      </c>
      <c r="C59">
        <v>9.6751508252579299</v>
      </c>
      <c r="D59">
        <v>8.7374553680419904</v>
      </c>
      <c r="E59">
        <v>17.850985976388401</v>
      </c>
      <c r="F59">
        <v>10.462875843608</v>
      </c>
    </row>
    <row r="60" spans="1:6" x14ac:dyDescent="0.25">
      <c r="A60" t="s">
        <v>66</v>
      </c>
      <c r="B60" t="s">
        <v>7</v>
      </c>
      <c r="C60">
        <v>2.25604813624027</v>
      </c>
      <c r="D60">
        <v>2.06844902038574</v>
      </c>
      <c r="E60">
        <v>5.4083246342912901</v>
      </c>
      <c r="F60">
        <v>6.22752213035566</v>
      </c>
    </row>
    <row r="61" spans="1:6" x14ac:dyDescent="0.25">
      <c r="A61" t="s">
        <v>67</v>
      </c>
      <c r="B61" t="s">
        <v>7</v>
      </c>
      <c r="C61">
        <v>4.8153864033001197</v>
      </c>
      <c r="D61">
        <v>4.2248296737670898</v>
      </c>
      <c r="E61">
        <v>9.8972016367060291</v>
      </c>
      <c r="F61">
        <v>6.8523226304062002</v>
      </c>
    </row>
    <row r="62" spans="1:6" x14ac:dyDescent="0.25">
      <c r="A62" t="s">
        <v>68</v>
      </c>
      <c r="B62" t="s">
        <v>7</v>
      </c>
      <c r="C62">
        <v>11.5429539794716</v>
      </c>
      <c r="D62">
        <v>9.3452014923095703</v>
      </c>
      <c r="E62">
        <v>20.707095123920698</v>
      </c>
      <c r="F62">
        <v>12.140916547555699</v>
      </c>
    </row>
    <row r="63" spans="1:6" x14ac:dyDescent="0.25">
      <c r="A63" t="s">
        <v>69</v>
      </c>
      <c r="B63" t="s">
        <v>7</v>
      </c>
      <c r="C63">
        <v>11.2459155242303</v>
      </c>
      <c r="D63">
        <v>10.7970371246337</v>
      </c>
      <c r="E63">
        <v>17.608687308188699</v>
      </c>
      <c r="F63">
        <v>12.4616603519755</v>
      </c>
    </row>
    <row r="64" spans="1:6" x14ac:dyDescent="0.25">
      <c r="A64" t="s">
        <v>70</v>
      </c>
      <c r="B64" t="s">
        <v>7</v>
      </c>
      <c r="C64">
        <v>14.4645064344007</v>
      </c>
      <c r="D64">
        <v>11.639081954956</v>
      </c>
      <c r="E64">
        <v>22.5085523595924</v>
      </c>
      <c r="F64">
        <v>15.2299702830062</v>
      </c>
    </row>
    <row r="65" spans="1:6" x14ac:dyDescent="0.25">
      <c r="A65" t="s">
        <v>71</v>
      </c>
      <c r="B65" t="s">
        <v>7</v>
      </c>
      <c r="C65">
        <v>8.9464117549388593</v>
      </c>
      <c r="D65">
        <v>7.9350872039794904</v>
      </c>
      <c r="E65">
        <v>14.5238411386576</v>
      </c>
      <c r="F65">
        <v>10.504783832719101</v>
      </c>
    </row>
    <row r="66" spans="1:6" x14ac:dyDescent="0.25">
      <c r="A66" t="s">
        <v>72</v>
      </c>
      <c r="B66" t="s">
        <v>7</v>
      </c>
      <c r="C66">
        <v>8.6039436802064309</v>
      </c>
      <c r="D66">
        <v>5.97645664215087</v>
      </c>
      <c r="E66">
        <v>18.042217673869999</v>
      </c>
      <c r="F66">
        <v>9.19630094244331</v>
      </c>
    </row>
    <row r="67" spans="1:6" x14ac:dyDescent="0.25">
      <c r="A67" t="s">
        <v>73</v>
      </c>
      <c r="B67" t="s">
        <v>7</v>
      </c>
      <c r="C67">
        <v>6.8576939543547502</v>
      </c>
      <c r="D67">
        <v>5.9955763816833496</v>
      </c>
      <c r="E67">
        <v>12.7592342749429</v>
      </c>
      <c r="F67">
        <v>8.3716878140053996</v>
      </c>
    </row>
    <row r="68" spans="1:6" x14ac:dyDescent="0.25">
      <c r="A68" t="s">
        <v>74</v>
      </c>
      <c r="B68" t="s">
        <v>7</v>
      </c>
      <c r="C68">
        <v>9.4429592591496991</v>
      </c>
      <c r="D68">
        <v>8.1411781311035103</v>
      </c>
      <c r="E68">
        <v>14.784163597121101</v>
      </c>
      <c r="F68">
        <v>11.0866641532755</v>
      </c>
    </row>
    <row r="69" spans="1:6" x14ac:dyDescent="0.25">
      <c r="A69" t="s">
        <v>75</v>
      </c>
      <c r="B69" t="s">
        <v>7</v>
      </c>
      <c r="C69">
        <v>7.2168635398248897</v>
      </c>
      <c r="D69">
        <v>5.59234189987182</v>
      </c>
      <c r="E69">
        <v>15.5966675049859</v>
      </c>
      <c r="F69">
        <v>8.0163948120660091</v>
      </c>
    </row>
    <row r="70" spans="1:6" x14ac:dyDescent="0.25">
      <c r="A70" t="s">
        <v>76</v>
      </c>
      <c r="B70" t="s">
        <v>7</v>
      </c>
      <c r="C70">
        <v>11.0482479197224</v>
      </c>
      <c r="D70">
        <v>9.5970525741577095</v>
      </c>
      <c r="E70">
        <v>22.6641729937358</v>
      </c>
      <c r="F70">
        <v>11.381876757073099</v>
      </c>
    </row>
    <row r="71" spans="1:6" x14ac:dyDescent="0.25">
      <c r="A71" t="s">
        <v>77</v>
      </c>
      <c r="B71" t="s">
        <v>7</v>
      </c>
      <c r="C71">
        <v>9.1163485289503097</v>
      </c>
      <c r="D71">
        <v>6.8507571220397896</v>
      </c>
      <c r="E71">
        <v>20.118474099878298</v>
      </c>
      <c r="F71">
        <v>9.5176667392514194</v>
      </c>
    </row>
    <row r="72" spans="1:6" x14ac:dyDescent="0.25">
      <c r="A72" t="s">
        <v>78</v>
      </c>
      <c r="B72" t="s">
        <v>7</v>
      </c>
      <c r="C72">
        <v>8.0785826375229206</v>
      </c>
      <c r="D72">
        <v>7.5379920005798304</v>
      </c>
      <c r="E72">
        <v>13.3715863320149</v>
      </c>
      <c r="F72">
        <v>9.7957226100700794</v>
      </c>
    </row>
    <row r="73" spans="1:6" x14ac:dyDescent="0.25">
      <c r="A73" t="s">
        <v>79</v>
      </c>
      <c r="B73" t="s">
        <v>7</v>
      </c>
      <c r="C73">
        <v>14.576546410676601</v>
      </c>
      <c r="D73">
        <v>12.8747997283935</v>
      </c>
      <c r="E73">
        <v>24.1371365650317</v>
      </c>
      <c r="F73">
        <v>15.1025262630834</v>
      </c>
    </row>
    <row r="74" spans="1:6" x14ac:dyDescent="0.25">
      <c r="A74" t="s">
        <v>80</v>
      </c>
      <c r="B74" t="s">
        <v>7</v>
      </c>
      <c r="C74">
        <v>6.4435913908896403</v>
      </c>
      <c r="D74">
        <v>5.4334478378295898</v>
      </c>
      <c r="E74">
        <v>13.710416728183199</v>
      </c>
      <c r="F74">
        <v>7.5270806111327602</v>
      </c>
    </row>
    <row r="75" spans="1:6" x14ac:dyDescent="0.25">
      <c r="A75" t="s">
        <v>81</v>
      </c>
      <c r="B75" t="s">
        <v>7</v>
      </c>
      <c r="C75">
        <v>13.884571500919799</v>
      </c>
      <c r="D75">
        <v>13.220705032348601</v>
      </c>
      <c r="E75">
        <v>23.112752681225501</v>
      </c>
      <c r="F75">
        <v>14.458182330065201</v>
      </c>
    </row>
    <row r="76" spans="1:6" x14ac:dyDescent="0.25">
      <c r="A76" t="s">
        <v>82</v>
      </c>
      <c r="B76" t="s">
        <v>7</v>
      </c>
      <c r="C76">
        <v>13.127485164266099</v>
      </c>
      <c r="D76">
        <v>11.7253160476684</v>
      </c>
      <c r="E76">
        <v>23.033980716469799</v>
      </c>
      <c r="F76">
        <v>13.6171179429739</v>
      </c>
    </row>
    <row r="77" spans="1:6" x14ac:dyDescent="0.25">
      <c r="A77" t="s">
        <v>83</v>
      </c>
      <c r="B77" t="s">
        <v>7</v>
      </c>
      <c r="C77">
        <v>10.1465295400739</v>
      </c>
      <c r="D77">
        <v>9.2046852111816406</v>
      </c>
      <c r="E77">
        <v>16.678266936828699</v>
      </c>
      <c r="F77">
        <v>11.3304129420377</v>
      </c>
    </row>
    <row r="78" spans="1:6" x14ac:dyDescent="0.25">
      <c r="A78" t="s">
        <v>84</v>
      </c>
      <c r="B78" t="s">
        <v>7</v>
      </c>
      <c r="C78">
        <v>9.5202275728019803</v>
      </c>
      <c r="D78">
        <v>9.0222463607787997</v>
      </c>
      <c r="E78">
        <v>13.5244224969548</v>
      </c>
      <c r="F78">
        <v>11.911006422929001</v>
      </c>
    </row>
    <row r="79" spans="1:6" x14ac:dyDescent="0.25">
      <c r="A79" t="s">
        <v>85</v>
      </c>
      <c r="B79" t="s">
        <v>7</v>
      </c>
      <c r="C79">
        <v>6.71892307905902</v>
      </c>
      <c r="D79">
        <v>6.09690237045288</v>
      </c>
      <c r="E79">
        <v>11.834521368577199</v>
      </c>
      <c r="F79">
        <v>8.5930932598250092</v>
      </c>
    </row>
    <row r="80" spans="1:6" x14ac:dyDescent="0.25">
      <c r="A80" t="s">
        <v>86</v>
      </c>
      <c r="B80" t="s">
        <v>7</v>
      </c>
      <c r="C80">
        <v>12.990120507681</v>
      </c>
      <c r="D80">
        <v>12.6753892898559</v>
      </c>
      <c r="E80">
        <v>19.345126286097599</v>
      </c>
      <c r="F80">
        <v>14.1837328283796</v>
      </c>
    </row>
    <row r="81" spans="1:6" x14ac:dyDescent="0.25">
      <c r="A81" t="s">
        <v>87</v>
      </c>
      <c r="B81" t="s">
        <v>7</v>
      </c>
      <c r="C81">
        <v>7.69153782069339</v>
      </c>
      <c r="D81">
        <v>6.2799711227416903</v>
      </c>
      <c r="E81">
        <v>13.6688416965104</v>
      </c>
      <c r="F81">
        <v>9.1381514145185996</v>
      </c>
    </row>
    <row r="82" spans="1:6" x14ac:dyDescent="0.25">
      <c r="B82" t="s">
        <v>88</v>
      </c>
      <c r="C82">
        <f>_xlfn.QUARTILE.INC(C$2:C$81,1)</f>
        <v>7.1270711434573553</v>
      </c>
      <c r="D82">
        <f t="shared" ref="D82:F82" si="0">_xlfn.QUARTILE.INC(D$2:D$81,1)</f>
        <v>6.0416892766952444</v>
      </c>
      <c r="E82">
        <f t="shared" si="0"/>
        <v>13.32037118425405</v>
      </c>
      <c r="F82">
        <f t="shared" si="0"/>
        <v>8.6123701321624111</v>
      </c>
    </row>
    <row r="83" spans="1:6" x14ac:dyDescent="0.25">
      <c r="B83" t="s">
        <v>89</v>
      </c>
      <c r="C83">
        <f>_xlfn.QUARTILE.INC(C$2:C$81,2)</f>
        <v>9.2971528387472411</v>
      </c>
      <c r="D83">
        <f t="shared" ref="D83:F83" si="1">_xlfn.QUARTILE.INC(D$2:D$81,2)</f>
        <v>8.1262540817260707</v>
      </c>
      <c r="E83">
        <f t="shared" si="1"/>
        <v>16.295792367298649</v>
      </c>
      <c r="F83">
        <f t="shared" si="1"/>
        <v>10.531032540230999</v>
      </c>
    </row>
    <row r="84" spans="1:6" x14ac:dyDescent="0.25">
      <c r="B84" t="s">
        <v>90</v>
      </c>
      <c r="C84">
        <f>_xlfn.QUARTILE.INC(C$2:C$81,3)</f>
        <v>11.625823964627575</v>
      </c>
      <c r="D84">
        <f t="shared" ref="D84:F84" si="2">_xlfn.QUARTILE.INC(D$2:D$81,3)</f>
        <v>10.835203886032074</v>
      </c>
      <c r="E84">
        <f t="shared" si="2"/>
        <v>20.127250829302248</v>
      </c>
      <c r="F84">
        <f t="shared" si="2"/>
        <v>12.67711275528945</v>
      </c>
    </row>
    <row r="85" spans="1:6" x14ac:dyDescent="0.25">
      <c r="B85" t="s">
        <v>91</v>
      </c>
      <c r="C85">
        <f>AVERAGE(C2:C81)</f>
        <v>9.3879198973366691</v>
      </c>
      <c r="D85">
        <f t="shared" ref="D85:F85" si="3">AVERAGE(D2:D81)</f>
        <v>8.3754506438970431</v>
      </c>
      <c r="E85">
        <f t="shared" si="3"/>
        <v>16.278925449591082</v>
      </c>
      <c r="F85">
        <f t="shared" si="3"/>
        <v>10.826107332630734</v>
      </c>
    </row>
  </sheetData>
  <sortState ref="A3:F81">
    <sortCondition ref="B3:B81"/>
  </sortState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>
      <pane ySplit="1" topLeftCell="A58" activePane="bottomLeft" state="frozen"/>
      <selection pane="bottomLeft" activeCell="B85" sqref="B85"/>
    </sheetView>
  </sheetViews>
  <sheetFormatPr defaultRowHeight="16.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</v>
      </c>
      <c r="C2">
        <v>14.548009969098599</v>
      </c>
      <c r="D2">
        <v>14.173254966735801</v>
      </c>
      <c r="E2">
        <v>18.894678853305901</v>
      </c>
      <c r="F2">
        <v>16.593503341915898</v>
      </c>
    </row>
    <row r="3" spans="1:6" x14ac:dyDescent="0.25">
      <c r="A3" t="s">
        <v>9</v>
      </c>
      <c r="B3" t="s">
        <v>8</v>
      </c>
      <c r="C3">
        <v>19.003036248364001</v>
      </c>
      <c r="D3">
        <v>18.770393371581999</v>
      </c>
      <c r="E3">
        <v>25.870534927158001</v>
      </c>
      <c r="F3">
        <v>20.014456209503901</v>
      </c>
    </row>
    <row r="4" spans="1:6" x14ac:dyDescent="0.25">
      <c r="A4" t="s">
        <v>10</v>
      </c>
      <c r="B4" t="s">
        <v>8</v>
      </c>
      <c r="C4">
        <v>3.7414733880143398</v>
      </c>
      <c r="D4">
        <v>3.6275434494018501</v>
      </c>
      <c r="E4">
        <v>5.2320693920351404</v>
      </c>
      <c r="F4">
        <v>10.2483953215919</v>
      </c>
    </row>
    <row r="5" spans="1:6" x14ac:dyDescent="0.25">
      <c r="A5" t="s">
        <v>11</v>
      </c>
      <c r="B5" t="s">
        <v>8</v>
      </c>
      <c r="C5">
        <v>5.1366170352372702</v>
      </c>
      <c r="D5">
        <v>4.7673301696777299</v>
      </c>
      <c r="E5">
        <v>7.9081017076987798</v>
      </c>
      <c r="F5">
        <v>9.0512406956303</v>
      </c>
    </row>
    <row r="6" spans="1:6" x14ac:dyDescent="0.25">
      <c r="A6" t="s">
        <v>12</v>
      </c>
      <c r="B6" t="s">
        <v>8</v>
      </c>
      <c r="C6">
        <v>8.2082995492281103</v>
      </c>
      <c r="D6">
        <v>7.9982161521911603</v>
      </c>
      <c r="E6">
        <v>11.4331653113379</v>
      </c>
      <c r="F6">
        <v>11.3156494832349</v>
      </c>
    </row>
    <row r="7" spans="1:6" x14ac:dyDescent="0.25">
      <c r="A7" t="s">
        <v>13</v>
      </c>
      <c r="B7" t="s">
        <v>8</v>
      </c>
      <c r="C7">
        <v>3.3436351033571401</v>
      </c>
      <c r="D7">
        <v>3.3070974349975502</v>
      </c>
      <c r="E7">
        <v>4.5162450463268398</v>
      </c>
      <c r="F7">
        <v>10.9176096788688</v>
      </c>
    </row>
    <row r="8" spans="1:6" x14ac:dyDescent="0.25">
      <c r="A8" t="s">
        <v>14</v>
      </c>
      <c r="B8" t="s">
        <v>8</v>
      </c>
      <c r="C8">
        <v>7.6326404004648101</v>
      </c>
      <c r="D8">
        <v>6.6019873619079501</v>
      </c>
      <c r="E8">
        <v>10.0065944628659</v>
      </c>
      <c r="F8">
        <v>11.802130109719499</v>
      </c>
    </row>
    <row r="9" spans="1:6" x14ac:dyDescent="0.25">
      <c r="A9" t="s">
        <v>15</v>
      </c>
      <c r="B9" t="s">
        <v>8</v>
      </c>
      <c r="C9">
        <v>6.8320223061364604</v>
      </c>
      <c r="D9">
        <v>6.5842123031616202</v>
      </c>
      <c r="E9">
        <v>11.380036602598899</v>
      </c>
      <c r="F9">
        <v>9.0140844231123598</v>
      </c>
    </row>
    <row r="10" spans="1:6" x14ac:dyDescent="0.25">
      <c r="A10" t="s">
        <v>16</v>
      </c>
      <c r="B10" t="s">
        <v>8</v>
      </c>
      <c r="C10">
        <v>9.3211063667838605</v>
      </c>
      <c r="D10">
        <v>9.0152416229247994</v>
      </c>
      <c r="E10">
        <v>14.4188519441265</v>
      </c>
      <c r="F10">
        <v>11.0817488058364</v>
      </c>
    </row>
    <row r="11" spans="1:6" x14ac:dyDescent="0.25">
      <c r="A11" t="s">
        <v>17</v>
      </c>
      <c r="B11" t="s">
        <v>8</v>
      </c>
      <c r="C11">
        <v>12.308281466448801</v>
      </c>
      <c r="D11">
        <v>12.045473098754799</v>
      </c>
      <c r="E11">
        <v>16.548343809351302</v>
      </c>
      <c r="F11">
        <v>14.456400232196801</v>
      </c>
    </row>
    <row r="12" spans="1:6" x14ac:dyDescent="0.25">
      <c r="A12" t="s">
        <v>18</v>
      </c>
      <c r="B12" t="s">
        <v>8</v>
      </c>
      <c r="C12">
        <v>16.543692903867299</v>
      </c>
      <c r="D12">
        <v>15.8303985595703</v>
      </c>
      <c r="E12">
        <v>22.0823437609608</v>
      </c>
      <c r="F12">
        <v>17.993200231793601</v>
      </c>
    </row>
    <row r="13" spans="1:6" x14ac:dyDescent="0.25">
      <c r="A13" t="s">
        <v>19</v>
      </c>
      <c r="B13" t="s">
        <v>8</v>
      </c>
      <c r="C13">
        <v>14.8259741282354</v>
      </c>
      <c r="D13">
        <v>14.238447189331</v>
      </c>
      <c r="E13">
        <v>24.142592206501</v>
      </c>
      <c r="F13">
        <v>15.3832679519794</v>
      </c>
    </row>
    <row r="14" spans="1:6" x14ac:dyDescent="0.25">
      <c r="A14" t="s">
        <v>20</v>
      </c>
      <c r="B14" t="s">
        <v>8</v>
      </c>
      <c r="C14">
        <v>14.234807871258299</v>
      </c>
      <c r="D14">
        <v>13.8506984710693</v>
      </c>
      <c r="E14">
        <v>19.075839852971299</v>
      </c>
      <c r="F14">
        <v>16.0146255324705</v>
      </c>
    </row>
    <row r="15" spans="1:6" x14ac:dyDescent="0.25">
      <c r="A15" t="s">
        <v>21</v>
      </c>
      <c r="B15" t="s">
        <v>8</v>
      </c>
      <c r="C15">
        <v>5.7888445160147501</v>
      </c>
      <c r="D15">
        <v>5.3511834144592196</v>
      </c>
      <c r="E15">
        <v>8.6579673479939991</v>
      </c>
      <c r="F15">
        <v>9.4996447249474194</v>
      </c>
    </row>
    <row r="16" spans="1:6" x14ac:dyDescent="0.25">
      <c r="A16" t="s">
        <v>22</v>
      </c>
      <c r="B16" t="s">
        <v>8</v>
      </c>
      <c r="C16">
        <v>9.4754538379759197</v>
      </c>
      <c r="D16">
        <v>9.3099489212036097</v>
      </c>
      <c r="E16">
        <v>11.535320451961599</v>
      </c>
      <c r="F16">
        <v>13.998942350206599</v>
      </c>
    </row>
    <row r="17" spans="1:6" x14ac:dyDescent="0.25">
      <c r="A17" t="s">
        <v>23</v>
      </c>
      <c r="B17" t="s">
        <v>8</v>
      </c>
      <c r="C17">
        <v>15.8836444618891</v>
      </c>
      <c r="D17">
        <v>15.464826583862299</v>
      </c>
      <c r="E17">
        <v>20.261682713236901</v>
      </c>
      <c r="F17">
        <v>17.896050136297401</v>
      </c>
    </row>
    <row r="18" spans="1:6" x14ac:dyDescent="0.25">
      <c r="A18" t="s">
        <v>24</v>
      </c>
      <c r="B18" t="s">
        <v>8</v>
      </c>
      <c r="C18">
        <v>11.8663398845366</v>
      </c>
      <c r="D18">
        <v>11.683965682983301</v>
      </c>
      <c r="E18">
        <v>15.27832322117</v>
      </c>
      <c r="F18">
        <v>14.6359209759209</v>
      </c>
    </row>
    <row r="19" spans="1:6" x14ac:dyDescent="0.25">
      <c r="A19" t="s">
        <v>25</v>
      </c>
      <c r="B19" t="s">
        <v>8</v>
      </c>
      <c r="C19">
        <v>3.7205868795630299</v>
      </c>
      <c r="D19">
        <v>3.5363080501556299</v>
      </c>
      <c r="E19">
        <v>6.4754508008469003</v>
      </c>
      <c r="F19">
        <v>7.8841520856749696</v>
      </c>
    </row>
    <row r="20" spans="1:6" x14ac:dyDescent="0.25">
      <c r="A20" t="s">
        <v>26</v>
      </c>
      <c r="B20" t="s">
        <v>8</v>
      </c>
      <c r="C20">
        <v>11.307739114846701</v>
      </c>
      <c r="D20">
        <v>9.6924533843994105</v>
      </c>
      <c r="E20">
        <v>14.5781141578465</v>
      </c>
      <c r="F20">
        <v>14.221431647722699</v>
      </c>
    </row>
    <row r="21" spans="1:6" x14ac:dyDescent="0.25">
      <c r="A21" t="s">
        <v>27</v>
      </c>
      <c r="B21" t="s">
        <v>8</v>
      </c>
      <c r="C21">
        <v>15.1768061311989</v>
      </c>
      <c r="D21">
        <v>14.370499610900801</v>
      </c>
      <c r="E21">
        <v>24.606255479184</v>
      </c>
      <c r="F21">
        <v>15.717673171328601</v>
      </c>
    </row>
    <row r="22" spans="1:6" x14ac:dyDescent="0.25">
      <c r="A22" t="s">
        <v>28</v>
      </c>
      <c r="B22" t="s">
        <v>8</v>
      </c>
      <c r="C22">
        <v>9.9071882180116297</v>
      </c>
      <c r="D22">
        <v>7.0237007141113201</v>
      </c>
      <c r="E22">
        <v>22.848436937212998</v>
      </c>
      <c r="F22">
        <v>10.1560980558337</v>
      </c>
    </row>
    <row r="23" spans="1:6" x14ac:dyDescent="0.25">
      <c r="A23" t="s">
        <v>29</v>
      </c>
      <c r="B23" t="s">
        <v>8</v>
      </c>
      <c r="C23">
        <v>2.9822174722404902</v>
      </c>
      <c r="D23">
        <v>2.7139317989349299</v>
      </c>
      <c r="E23">
        <v>5.0683228758889101</v>
      </c>
      <c r="F23">
        <v>8.3450723546629693</v>
      </c>
    </row>
    <row r="24" spans="1:6" x14ac:dyDescent="0.25">
      <c r="A24" t="s">
        <v>30</v>
      </c>
      <c r="B24" t="s">
        <v>8</v>
      </c>
      <c r="C24">
        <v>8.6945321712712609</v>
      </c>
      <c r="D24">
        <v>8.5014390945434499</v>
      </c>
      <c r="E24">
        <v>11.2950796773963</v>
      </c>
      <c r="F24">
        <v>12.468222790256</v>
      </c>
    </row>
    <row r="25" spans="1:6" x14ac:dyDescent="0.25">
      <c r="A25" t="s">
        <v>31</v>
      </c>
      <c r="B25" t="s">
        <v>8</v>
      </c>
      <c r="C25">
        <v>13.6809688372278</v>
      </c>
      <c r="D25">
        <v>13.0802907943725</v>
      </c>
      <c r="E25">
        <v>18.708186763012598</v>
      </c>
      <c r="F25">
        <v>15.377408283901399</v>
      </c>
    </row>
    <row r="26" spans="1:6" x14ac:dyDescent="0.25">
      <c r="A26" t="s">
        <v>32</v>
      </c>
      <c r="B26" t="s">
        <v>8</v>
      </c>
      <c r="C26">
        <v>13.593856514707101</v>
      </c>
      <c r="D26">
        <v>13.4236297607421</v>
      </c>
      <c r="E26">
        <v>17.452748639751999</v>
      </c>
      <c r="F26">
        <v>15.971962432528899</v>
      </c>
    </row>
    <row r="27" spans="1:6" x14ac:dyDescent="0.25">
      <c r="A27" t="s">
        <v>33</v>
      </c>
      <c r="B27" t="s">
        <v>8</v>
      </c>
      <c r="C27">
        <v>12.176536365895799</v>
      </c>
      <c r="D27">
        <v>11.6031284332275</v>
      </c>
      <c r="E27">
        <v>17.2595916446862</v>
      </c>
      <c r="F27">
        <v>13.8704091530636</v>
      </c>
    </row>
    <row r="28" spans="1:6" x14ac:dyDescent="0.25">
      <c r="A28" t="s">
        <v>34</v>
      </c>
      <c r="B28" t="s">
        <v>8</v>
      </c>
      <c r="C28">
        <v>19.2926262957142</v>
      </c>
      <c r="D28">
        <v>19.1423320770263</v>
      </c>
      <c r="E28">
        <v>25.581054535285499</v>
      </c>
      <c r="F28">
        <v>20.468283514957001</v>
      </c>
    </row>
    <row r="29" spans="1:6" x14ac:dyDescent="0.25">
      <c r="A29" t="s">
        <v>35</v>
      </c>
      <c r="B29" t="s">
        <v>8</v>
      </c>
      <c r="C29">
        <v>19.2926262957142</v>
      </c>
      <c r="D29">
        <v>19.1423320770263</v>
      </c>
      <c r="E29">
        <v>25.581054535285499</v>
      </c>
      <c r="F29">
        <v>20.468283514957001</v>
      </c>
    </row>
    <row r="30" spans="1:6" x14ac:dyDescent="0.25">
      <c r="A30" t="s">
        <v>36</v>
      </c>
      <c r="B30" t="s">
        <v>8</v>
      </c>
      <c r="C30">
        <v>11.590563501116</v>
      </c>
      <c r="D30">
        <v>10.835700988769499</v>
      </c>
      <c r="E30">
        <v>17.266317139051001</v>
      </c>
      <c r="F30">
        <v>13.0420090415766</v>
      </c>
    </row>
    <row r="31" spans="1:6" x14ac:dyDescent="0.25">
      <c r="A31" t="s">
        <v>37</v>
      </c>
      <c r="B31" t="s">
        <v>8</v>
      </c>
      <c r="C31">
        <v>14.9062856092677</v>
      </c>
      <c r="D31">
        <v>14.079610824584901</v>
      </c>
      <c r="E31">
        <v>20.489810705041599</v>
      </c>
      <c r="F31">
        <v>16.350343365803202</v>
      </c>
    </row>
    <row r="32" spans="1:6" x14ac:dyDescent="0.25">
      <c r="A32" t="s">
        <v>38</v>
      </c>
      <c r="B32" t="s">
        <v>8</v>
      </c>
      <c r="C32">
        <v>12.079390653252499</v>
      </c>
      <c r="D32">
        <v>11.2216672897338</v>
      </c>
      <c r="E32">
        <v>16.733883219433601</v>
      </c>
      <c r="F32">
        <v>13.9910263991134</v>
      </c>
    </row>
    <row r="33" spans="1:6" x14ac:dyDescent="0.25">
      <c r="A33" t="s">
        <v>39</v>
      </c>
      <c r="B33" t="s">
        <v>8</v>
      </c>
      <c r="C33">
        <v>14.659717350486799</v>
      </c>
      <c r="D33">
        <v>12.740520477294901</v>
      </c>
      <c r="E33">
        <v>21.2468231717605</v>
      </c>
      <c r="F33">
        <v>15.7680499222918</v>
      </c>
    </row>
    <row r="34" spans="1:6" x14ac:dyDescent="0.25">
      <c r="A34" t="s">
        <v>40</v>
      </c>
      <c r="B34" t="s">
        <v>8</v>
      </c>
      <c r="C34">
        <v>17.601804271306801</v>
      </c>
      <c r="D34">
        <v>17.400154113769499</v>
      </c>
      <c r="E34">
        <v>24.4953765332831</v>
      </c>
      <c r="F34">
        <v>18.610670953368899</v>
      </c>
    </row>
    <row r="35" spans="1:6" x14ac:dyDescent="0.25">
      <c r="A35" t="s">
        <v>41</v>
      </c>
      <c r="B35" t="s">
        <v>8</v>
      </c>
      <c r="C35">
        <v>16.097415165517099</v>
      </c>
      <c r="D35">
        <v>15.6873302459716</v>
      </c>
      <c r="E35">
        <v>20.808241503878399</v>
      </c>
      <c r="F35">
        <v>17.924744390814698</v>
      </c>
    </row>
    <row r="36" spans="1:6" x14ac:dyDescent="0.25">
      <c r="A36" t="s">
        <v>42</v>
      </c>
      <c r="B36" t="s">
        <v>8</v>
      </c>
      <c r="C36">
        <v>12.9340856866769</v>
      </c>
      <c r="D36">
        <v>12.829733848571699</v>
      </c>
      <c r="E36">
        <v>15.253891337623401</v>
      </c>
      <c r="F36">
        <v>16.893450270061901</v>
      </c>
    </row>
    <row r="37" spans="1:6" x14ac:dyDescent="0.25">
      <c r="A37" t="s">
        <v>43</v>
      </c>
      <c r="B37" t="s">
        <v>8</v>
      </c>
      <c r="C37">
        <v>4.7486123266487397</v>
      </c>
      <c r="D37">
        <v>4.7154612541198704</v>
      </c>
      <c r="E37">
        <v>6.95958467354669</v>
      </c>
      <c r="F37">
        <v>9.5361557901424501</v>
      </c>
    </row>
    <row r="38" spans="1:6" x14ac:dyDescent="0.25">
      <c r="A38" t="s">
        <v>44</v>
      </c>
      <c r="B38" t="s">
        <v>8</v>
      </c>
      <c r="C38">
        <v>9.7756416846329408</v>
      </c>
      <c r="D38">
        <v>9.6708641052246094</v>
      </c>
      <c r="E38">
        <v>12.871836283748101</v>
      </c>
      <c r="F38">
        <v>12.9203004963076</v>
      </c>
    </row>
    <row r="39" spans="1:6" x14ac:dyDescent="0.25">
      <c r="A39" t="s">
        <v>45</v>
      </c>
      <c r="B39" t="s">
        <v>8</v>
      </c>
      <c r="C39">
        <v>7.0139184282666998</v>
      </c>
      <c r="D39">
        <v>6.9377889633178702</v>
      </c>
      <c r="E39">
        <v>10.7408159726746</v>
      </c>
      <c r="F39">
        <v>9.7608494803100303</v>
      </c>
    </row>
    <row r="40" spans="1:6" x14ac:dyDescent="0.25">
      <c r="A40" t="s">
        <v>46</v>
      </c>
      <c r="B40" t="s">
        <v>8</v>
      </c>
      <c r="C40">
        <v>7.06482867269842</v>
      </c>
      <c r="D40">
        <v>6.7387108802795401</v>
      </c>
      <c r="E40">
        <v>11.074688807468</v>
      </c>
      <c r="F40">
        <v>9.5896311164040906</v>
      </c>
    </row>
    <row r="41" spans="1:6" x14ac:dyDescent="0.25">
      <c r="A41" t="s">
        <v>47</v>
      </c>
      <c r="B41" t="s">
        <v>8</v>
      </c>
      <c r="C41">
        <v>13.6987641247167</v>
      </c>
      <c r="D41">
        <v>13.5758399963378</v>
      </c>
      <c r="E41">
        <v>19.063556587431101</v>
      </c>
      <c r="F41">
        <v>15.2443235467333</v>
      </c>
    </row>
    <row r="42" spans="1:6" x14ac:dyDescent="0.25">
      <c r="A42" t="s">
        <v>48</v>
      </c>
      <c r="B42" t="s">
        <v>8</v>
      </c>
      <c r="C42">
        <v>11.167720886320399</v>
      </c>
      <c r="D42">
        <v>10.7675437927246</v>
      </c>
      <c r="E42">
        <v>17.086864605824701</v>
      </c>
      <c r="F42">
        <v>12.535577880353101</v>
      </c>
    </row>
    <row r="43" spans="1:6" x14ac:dyDescent="0.25">
      <c r="A43" t="s">
        <v>49</v>
      </c>
      <c r="B43" t="s">
        <v>8</v>
      </c>
      <c r="C43">
        <v>14.7457236131022</v>
      </c>
      <c r="D43">
        <v>14.490987777709901</v>
      </c>
      <c r="E43">
        <v>21.211249652165499</v>
      </c>
      <c r="F43">
        <v>15.8891214178103</v>
      </c>
    </row>
    <row r="44" spans="1:6" x14ac:dyDescent="0.25">
      <c r="A44" t="s">
        <v>50</v>
      </c>
      <c r="B44" t="s">
        <v>8</v>
      </c>
      <c r="C44">
        <v>15.1595668580993</v>
      </c>
      <c r="D44">
        <v>14.9462890625</v>
      </c>
      <c r="E44">
        <v>20.772866908379399</v>
      </c>
      <c r="F44">
        <v>16.589873906679301</v>
      </c>
    </row>
    <row r="45" spans="1:6" x14ac:dyDescent="0.25">
      <c r="A45" t="s">
        <v>51</v>
      </c>
      <c r="B45" t="s">
        <v>8</v>
      </c>
      <c r="C45">
        <v>16.404439427207102</v>
      </c>
      <c r="D45">
        <v>16.190673828125</v>
      </c>
      <c r="E45">
        <v>21.619559732479502</v>
      </c>
      <c r="F45">
        <v>17.989137858663501</v>
      </c>
    </row>
    <row r="46" spans="1:6" x14ac:dyDescent="0.25">
      <c r="A46" t="s">
        <v>52</v>
      </c>
      <c r="B46" t="s">
        <v>8</v>
      </c>
      <c r="C46">
        <v>11.539458007338499</v>
      </c>
      <c r="D46">
        <v>11.167096138000399</v>
      </c>
      <c r="E46">
        <v>17.492415105860701</v>
      </c>
      <c r="F46">
        <v>12.8883128310766</v>
      </c>
    </row>
    <row r="47" spans="1:6" x14ac:dyDescent="0.25">
      <c r="A47" t="s">
        <v>53</v>
      </c>
      <c r="B47" t="s">
        <v>8</v>
      </c>
      <c r="C47">
        <v>5.8700311784568697</v>
      </c>
      <c r="D47">
        <v>5.4976921081542898</v>
      </c>
      <c r="E47">
        <v>7.7475377324473804</v>
      </c>
      <c r="F47">
        <v>11.0913836909696</v>
      </c>
    </row>
    <row r="48" spans="1:6" x14ac:dyDescent="0.25">
      <c r="A48" t="s">
        <v>54</v>
      </c>
      <c r="B48" t="s">
        <v>8</v>
      </c>
      <c r="C48">
        <v>14.6356057137817</v>
      </c>
      <c r="D48">
        <v>14.079643249511699</v>
      </c>
      <c r="E48">
        <v>20.526217225348599</v>
      </c>
      <c r="F48">
        <v>15.967505921646399</v>
      </c>
    </row>
    <row r="49" spans="1:6" x14ac:dyDescent="0.25">
      <c r="A49" t="s">
        <v>55</v>
      </c>
      <c r="B49" t="s">
        <v>8</v>
      </c>
      <c r="C49">
        <v>12.1832937684774</v>
      </c>
      <c r="D49">
        <v>11.748648643493601</v>
      </c>
      <c r="E49">
        <v>16.0810931956836</v>
      </c>
      <c r="F49">
        <v>14.562819322613899</v>
      </c>
    </row>
    <row r="50" spans="1:6" x14ac:dyDescent="0.25">
      <c r="A50" t="s">
        <v>56</v>
      </c>
      <c r="B50" t="s">
        <v>8</v>
      </c>
      <c r="C50">
        <v>8.0585374098507891</v>
      </c>
      <c r="D50">
        <v>6.2959556579589799</v>
      </c>
      <c r="E50">
        <v>14.6074584730732</v>
      </c>
      <c r="F50">
        <v>9.2929794738190399</v>
      </c>
    </row>
    <row r="51" spans="1:6" x14ac:dyDescent="0.25">
      <c r="A51" t="s">
        <v>57</v>
      </c>
      <c r="B51" t="s">
        <v>8</v>
      </c>
      <c r="C51">
        <v>10.5970725275701</v>
      </c>
      <c r="D51">
        <v>10.4687128067016</v>
      </c>
      <c r="E51">
        <v>13.950260247527901</v>
      </c>
      <c r="F51">
        <v>13.461044653030999</v>
      </c>
    </row>
    <row r="52" spans="1:6" x14ac:dyDescent="0.25">
      <c r="A52" t="s">
        <v>58</v>
      </c>
      <c r="B52" t="s">
        <v>8</v>
      </c>
      <c r="C52">
        <v>11.873314964706299</v>
      </c>
      <c r="D52">
        <v>11.6763763427734</v>
      </c>
      <c r="E52">
        <v>14.830820393456801</v>
      </c>
      <c r="F52">
        <v>15.0775534190226</v>
      </c>
    </row>
    <row r="53" spans="1:6" x14ac:dyDescent="0.25">
      <c r="A53" t="s">
        <v>59</v>
      </c>
      <c r="B53" t="s">
        <v>8</v>
      </c>
      <c r="C53">
        <v>8.2595015574715696</v>
      </c>
      <c r="D53">
        <v>8.0996570587158203</v>
      </c>
      <c r="E53">
        <v>11.6015532518286</v>
      </c>
      <c r="F53">
        <v>11.2520236194225</v>
      </c>
    </row>
    <row r="54" spans="1:6" x14ac:dyDescent="0.25">
      <c r="A54" t="s">
        <v>60</v>
      </c>
      <c r="B54" t="s">
        <v>8</v>
      </c>
      <c r="C54">
        <v>9.57437789677053</v>
      </c>
      <c r="D54">
        <v>9.54365634918212</v>
      </c>
      <c r="E54">
        <v>11.4713905372667</v>
      </c>
      <c r="F54">
        <v>14.3845128744445</v>
      </c>
    </row>
    <row r="55" spans="1:6" x14ac:dyDescent="0.25">
      <c r="A55" t="s">
        <v>61</v>
      </c>
      <c r="B55" t="s">
        <v>8</v>
      </c>
      <c r="C55">
        <v>7.23760997895819</v>
      </c>
      <c r="D55">
        <v>6.9651465415954501</v>
      </c>
      <c r="E55">
        <v>9.6357333716903995</v>
      </c>
      <c r="F55">
        <v>11.409097177002099</v>
      </c>
    </row>
    <row r="56" spans="1:6" x14ac:dyDescent="0.25">
      <c r="A56" t="s">
        <v>62</v>
      </c>
      <c r="B56" t="s">
        <v>8</v>
      </c>
      <c r="C56">
        <v>15.7340049408235</v>
      </c>
      <c r="D56">
        <v>15.2110958099365</v>
      </c>
      <c r="E56">
        <v>21.046207647187501</v>
      </c>
      <c r="F56">
        <v>17.2817585571926</v>
      </c>
    </row>
    <row r="57" spans="1:6" x14ac:dyDescent="0.25">
      <c r="A57" t="s">
        <v>63</v>
      </c>
      <c r="B57" t="s">
        <v>8</v>
      </c>
      <c r="C57">
        <v>6.8587910539507799</v>
      </c>
      <c r="D57">
        <v>6.7012925148010201</v>
      </c>
      <c r="E57">
        <v>9.3319892772813304</v>
      </c>
      <c r="F57">
        <v>10.9612007580344</v>
      </c>
    </row>
    <row r="58" spans="1:6" x14ac:dyDescent="0.25">
      <c r="A58" t="s">
        <v>64</v>
      </c>
      <c r="B58" t="s">
        <v>8</v>
      </c>
      <c r="C58">
        <v>15.4571951819172</v>
      </c>
      <c r="D58">
        <v>15.2368907928466</v>
      </c>
      <c r="E58">
        <v>19.552522330842901</v>
      </c>
      <c r="F58">
        <v>17.647960186889801</v>
      </c>
    </row>
    <row r="59" spans="1:6" x14ac:dyDescent="0.25">
      <c r="A59" t="s">
        <v>65</v>
      </c>
      <c r="B59" t="s">
        <v>8</v>
      </c>
      <c r="C59">
        <v>13.6092641598953</v>
      </c>
      <c r="D59">
        <v>13.3274536132812</v>
      </c>
      <c r="E59">
        <v>18.9529974883297</v>
      </c>
      <c r="F59">
        <v>15.164858195343999</v>
      </c>
    </row>
    <row r="60" spans="1:6" x14ac:dyDescent="0.25">
      <c r="A60" t="s">
        <v>66</v>
      </c>
      <c r="B60" t="s">
        <v>8</v>
      </c>
      <c r="C60">
        <v>10.994236360719</v>
      </c>
      <c r="D60">
        <v>9.4698123931884695</v>
      </c>
      <c r="E60">
        <v>18.227205894084999</v>
      </c>
      <c r="F60">
        <v>11.969426464498699</v>
      </c>
    </row>
    <row r="61" spans="1:6" x14ac:dyDescent="0.25">
      <c r="A61" t="s">
        <v>67</v>
      </c>
      <c r="B61" t="s">
        <v>8</v>
      </c>
      <c r="C61">
        <v>5.7507004739370204</v>
      </c>
      <c r="D61">
        <v>5.4628362655639604</v>
      </c>
      <c r="E61">
        <v>8.1057770853976798</v>
      </c>
      <c r="F61">
        <v>10.157549218412701</v>
      </c>
    </row>
    <row r="62" spans="1:6" x14ac:dyDescent="0.25">
      <c r="A62" t="s">
        <v>68</v>
      </c>
      <c r="B62" t="s">
        <v>8</v>
      </c>
      <c r="C62">
        <v>16.047263010333499</v>
      </c>
      <c r="D62">
        <v>15.9829139709472</v>
      </c>
      <c r="E62">
        <v>17.7340627095606</v>
      </c>
      <c r="F62">
        <v>21.0431749244485</v>
      </c>
    </row>
    <row r="63" spans="1:6" x14ac:dyDescent="0.25">
      <c r="A63" t="s">
        <v>69</v>
      </c>
      <c r="B63" t="s">
        <v>8</v>
      </c>
      <c r="C63">
        <v>10.4091763319908</v>
      </c>
      <c r="D63">
        <v>10.064460754394499</v>
      </c>
      <c r="E63">
        <v>14.555071194052401</v>
      </c>
      <c r="F63">
        <v>12.6696580755172</v>
      </c>
    </row>
    <row r="64" spans="1:6" x14ac:dyDescent="0.25">
      <c r="A64" t="s">
        <v>70</v>
      </c>
      <c r="B64" t="s">
        <v>8</v>
      </c>
      <c r="C64">
        <v>7.57360668055696</v>
      </c>
      <c r="D64">
        <v>7.36954641342163</v>
      </c>
      <c r="E64">
        <v>10.095305556723501</v>
      </c>
      <c r="F64">
        <v>11.539877519628799</v>
      </c>
    </row>
    <row r="65" spans="1:6" x14ac:dyDescent="0.25">
      <c r="A65" t="s">
        <v>71</v>
      </c>
      <c r="B65" t="s">
        <v>8</v>
      </c>
      <c r="C65">
        <v>3.9782316676035299</v>
      </c>
      <c r="D65">
        <v>3.5931911468505802</v>
      </c>
      <c r="E65">
        <v>6.7266146724098101</v>
      </c>
      <c r="F65">
        <v>8.1040456756014496</v>
      </c>
    </row>
    <row r="66" spans="1:6" x14ac:dyDescent="0.25">
      <c r="A66" t="s">
        <v>72</v>
      </c>
      <c r="B66" t="s">
        <v>8</v>
      </c>
      <c r="C66">
        <v>5.3665021420801304</v>
      </c>
      <c r="D66">
        <v>5.2225627899169904</v>
      </c>
      <c r="E66">
        <v>7.0659744396965998</v>
      </c>
      <c r="F66">
        <v>11.0424587554133</v>
      </c>
    </row>
    <row r="67" spans="1:6" x14ac:dyDescent="0.25">
      <c r="A67" t="s">
        <v>73</v>
      </c>
      <c r="B67" t="s">
        <v>8</v>
      </c>
      <c r="C67">
        <v>8.7788972278948005</v>
      </c>
      <c r="D67">
        <v>8.3101110458374006</v>
      </c>
      <c r="E67">
        <v>12.2418908931025</v>
      </c>
      <c r="F67">
        <v>11.6310054182826</v>
      </c>
    </row>
    <row r="68" spans="1:6" x14ac:dyDescent="0.25">
      <c r="A68" t="s">
        <v>74</v>
      </c>
      <c r="B68" t="s">
        <v>8</v>
      </c>
      <c r="C68">
        <v>7.1137585704531103</v>
      </c>
      <c r="D68">
        <v>6.3703532218933097</v>
      </c>
      <c r="E68">
        <v>9.6101854615232494</v>
      </c>
      <c r="F68">
        <v>11.157844762441099</v>
      </c>
    </row>
    <row r="69" spans="1:6" x14ac:dyDescent="0.25">
      <c r="A69" t="s">
        <v>75</v>
      </c>
      <c r="B69" t="s">
        <v>8</v>
      </c>
      <c r="C69">
        <v>3.4160387810241102</v>
      </c>
      <c r="D69">
        <v>3.29571032524108</v>
      </c>
      <c r="E69">
        <v>5.3312401798315898</v>
      </c>
      <c r="F69">
        <v>9.0102080025489304</v>
      </c>
    </row>
    <row r="70" spans="1:6" x14ac:dyDescent="0.25">
      <c r="A70" t="s">
        <v>76</v>
      </c>
      <c r="B70" t="s">
        <v>8</v>
      </c>
      <c r="C70">
        <v>11.7973881449816</v>
      </c>
      <c r="D70">
        <v>11.730165481567299</v>
      </c>
      <c r="E70">
        <v>15.3522129538821</v>
      </c>
      <c r="F70">
        <v>14.4487193355623</v>
      </c>
    </row>
    <row r="71" spans="1:6" x14ac:dyDescent="0.25">
      <c r="A71" t="s">
        <v>77</v>
      </c>
      <c r="B71" t="s">
        <v>8</v>
      </c>
      <c r="C71">
        <v>5.0676411199023796</v>
      </c>
      <c r="D71">
        <v>4.9878759384155202</v>
      </c>
      <c r="E71">
        <v>7.4167673674081103</v>
      </c>
      <c r="F71">
        <v>9.5816558688779701</v>
      </c>
    </row>
    <row r="72" spans="1:6" x14ac:dyDescent="0.25">
      <c r="A72" t="s">
        <v>78</v>
      </c>
      <c r="B72" t="s">
        <v>8</v>
      </c>
      <c r="C72">
        <v>8.6591944434584391</v>
      </c>
      <c r="D72">
        <v>8.3164291381835902</v>
      </c>
      <c r="E72">
        <v>13.1994233304678</v>
      </c>
      <c r="F72">
        <v>10.7434467709866</v>
      </c>
    </row>
    <row r="73" spans="1:6" x14ac:dyDescent="0.25">
      <c r="A73" t="s">
        <v>79</v>
      </c>
      <c r="B73" t="s">
        <v>8</v>
      </c>
      <c r="C73">
        <v>13.7802791216155</v>
      </c>
      <c r="D73">
        <v>13.505189895629799</v>
      </c>
      <c r="E73">
        <v>17.936347551365799</v>
      </c>
      <c r="F73">
        <v>15.954149683560701</v>
      </c>
    </row>
    <row r="74" spans="1:6" x14ac:dyDescent="0.25">
      <c r="A74" t="s">
        <v>80</v>
      </c>
      <c r="B74" t="s">
        <v>8</v>
      </c>
      <c r="C74">
        <v>5.5715692929530096</v>
      </c>
      <c r="D74">
        <v>5.3275032043456996</v>
      </c>
      <c r="E74">
        <v>8.3854658035949008</v>
      </c>
      <c r="F74">
        <v>9.3757402498253395</v>
      </c>
    </row>
    <row r="75" spans="1:6" x14ac:dyDescent="0.25">
      <c r="A75" t="s">
        <v>81</v>
      </c>
      <c r="B75" t="s">
        <v>8</v>
      </c>
      <c r="C75">
        <v>15.662615833328701</v>
      </c>
      <c r="D75">
        <v>15.456432342529199</v>
      </c>
      <c r="E75">
        <v>21.140751920074798</v>
      </c>
      <c r="F75">
        <v>17.142273288030601</v>
      </c>
    </row>
    <row r="76" spans="1:6" x14ac:dyDescent="0.25">
      <c r="A76" t="s">
        <v>82</v>
      </c>
      <c r="B76" t="s">
        <v>8</v>
      </c>
      <c r="C76">
        <v>15.354918111828701</v>
      </c>
      <c r="D76">
        <v>15.213300704956</v>
      </c>
      <c r="E76">
        <v>18.925739427984102</v>
      </c>
      <c r="F76">
        <v>17.9241046364961</v>
      </c>
    </row>
    <row r="77" spans="1:6" x14ac:dyDescent="0.25">
      <c r="A77" t="s">
        <v>83</v>
      </c>
      <c r="B77" t="s">
        <v>8</v>
      </c>
      <c r="C77">
        <v>12.6602379747378</v>
      </c>
      <c r="D77">
        <v>12.201880455016999</v>
      </c>
      <c r="E77">
        <v>16.987798247339601</v>
      </c>
      <c r="F77">
        <v>14.7472564363987</v>
      </c>
    </row>
    <row r="78" spans="1:6" x14ac:dyDescent="0.25">
      <c r="A78" t="s">
        <v>84</v>
      </c>
      <c r="B78" t="s">
        <v>8</v>
      </c>
      <c r="C78">
        <v>13.9285551220638</v>
      </c>
      <c r="D78">
        <v>13.092266082763601</v>
      </c>
      <c r="E78">
        <v>18.554995090258998</v>
      </c>
      <c r="F78">
        <v>15.8238601742292</v>
      </c>
    </row>
    <row r="79" spans="1:6" x14ac:dyDescent="0.25">
      <c r="A79" t="s">
        <v>85</v>
      </c>
      <c r="B79" t="s">
        <v>8</v>
      </c>
      <c r="C79">
        <v>18.0020134409009</v>
      </c>
      <c r="D79">
        <v>17.470523834228501</v>
      </c>
      <c r="E79">
        <v>22.553386018891199</v>
      </c>
      <c r="F79">
        <v>19.9012220938159</v>
      </c>
    </row>
    <row r="80" spans="1:6" x14ac:dyDescent="0.25">
      <c r="A80" t="s">
        <v>86</v>
      </c>
      <c r="B80" t="s">
        <v>8</v>
      </c>
      <c r="C80">
        <v>16.663273757969002</v>
      </c>
      <c r="D80">
        <v>16.047533035278299</v>
      </c>
      <c r="E80">
        <v>24.001996603060299</v>
      </c>
      <c r="F80">
        <v>17.566578651295099</v>
      </c>
    </row>
    <row r="81" spans="1:6" x14ac:dyDescent="0.25">
      <c r="A81" t="s">
        <v>87</v>
      </c>
      <c r="B81" t="s">
        <v>8</v>
      </c>
      <c r="C81">
        <v>12.5818272433023</v>
      </c>
      <c r="D81">
        <v>12.194241523742599</v>
      </c>
      <c r="E81">
        <v>15.131533888725301</v>
      </c>
      <c r="F81">
        <v>16.238664268964801</v>
      </c>
    </row>
    <row r="82" spans="1:6" x14ac:dyDescent="0.25">
      <c r="B82" t="s">
        <v>88</v>
      </c>
      <c r="C82">
        <f>_xlfn.QUARTILE.INC(C$2:C$81,1)</f>
        <v>7.4896075051572675</v>
      </c>
      <c r="D82">
        <f t="shared" ref="D82:F82" si="0">_xlfn.QUARTILE.INC(D$2:D$81,1)</f>
        <v>6.8880194425582877</v>
      </c>
      <c r="E82">
        <f t="shared" si="0"/>
        <v>10.991220598769651</v>
      </c>
      <c r="F82">
        <f t="shared" si="0"/>
        <v>11.071926293230625</v>
      </c>
    </row>
    <row r="83" spans="1:6" x14ac:dyDescent="0.25">
      <c r="B83" t="s">
        <v>89</v>
      </c>
      <c r="C83">
        <f>_xlfn.QUARTILE.INC(C$2:C$81,2)</f>
        <v>11.693975823048799</v>
      </c>
      <c r="D83">
        <f t="shared" ref="D83:F83" si="1">_xlfn.QUARTILE.INC(D$2:D$81,2)</f>
        <v>11.194381713867099</v>
      </c>
      <c r="E83">
        <f t="shared" si="1"/>
        <v>15.716653074782851</v>
      </c>
      <c r="F83">
        <f t="shared" si="1"/>
        <v>14.11018699896465</v>
      </c>
    </row>
    <row r="84" spans="1:6" x14ac:dyDescent="0.25">
      <c r="B84" t="s">
        <v>90</v>
      </c>
      <c r="C84">
        <f>_xlfn.QUARTILE.INC(C$2:C$81,3)</f>
        <v>14.681218916140649</v>
      </c>
      <c r="D84">
        <f t="shared" ref="D84:F84" si="2">_xlfn.QUARTILE.INC(D$2:D$81,3)</f>
        <v>14.103046178817724</v>
      </c>
      <c r="E84">
        <f t="shared" si="2"/>
        <v>19.729812426441402</v>
      </c>
      <c r="F84">
        <f t="shared" si="2"/>
        <v>16.070635216594077</v>
      </c>
    </row>
    <row r="85" spans="1:6" x14ac:dyDescent="0.25">
      <c r="B85" t="s">
        <v>91</v>
      </c>
      <c r="C85">
        <f>AVERAGE(C2:C81)</f>
        <v>11.110175314827776</v>
      </c>
      <c r="D85">
        <f t="shared" ref="D85:F85" si="3">AVERAGE(D2:D81)</f>
        <v>10.679791244864433</v>
      </c>
      <c r="E85">
        <f t="shared" si="3"/>
        <v>15.381253713238104</v>
      </c>
      <c r="F85">
        <f t="shared" si="3"/>
        <v>13.821463300023662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new_batch_test_performance_repo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Wang</dc:creator>
  <cp:lastModifiedBy>王朝宗</cp:lastModifiedBy>
  <dcterms:created xsi:type="dcterms:W3CDTF">2026-03-28T07:35:43Z</dcterms:created>
  <dcterms:modified xsi:type="dcterms:W3CDTF">2026-03-28T08:01:11Z</dcterms:modified>
</cp:coreProperties>
</file>